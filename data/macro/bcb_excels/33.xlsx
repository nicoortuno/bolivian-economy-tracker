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CB\Valeria Jemio\Valeria Jemio\Boletines\Boletín Mensual\2025\Septiembre\"/>
    </mc:Choice>
  </mc:AlternateContent>
  <bookViews>
    <workbookView xWindow="0" yWindow="0" windowWidth="28800" windowHeight="11700"/>
  </bookViews>
  <sheets>
    <sheet name="31" sheetId="4" r:id="rId1"/>
  </sheets>
  <externalReferences>
    <externalReference r:id="rId2"/>
  </externalReferences>
  <definedNames>
    <definedName name="A_IMPRESI_N_IM">[1]REER!$CA$2:$CM$291</definedName>
    <definedName name="_xlnm.Print_Area" localSheetId="0">'31'!$A$1:$AF$51</definedName>
  </definedNames>
  <calcPr calcId="162913"/>
</workbook>
</file>

<file path=xl/calcChain.xml><?xml version="1.0" encoding="utf-8"?>
<calcChain xmlns="http://schemas.openxmlformats.org/spreadsheetml/2006/main">
  <c r="AE44" i="4" l="1"/>
  <c r="AE43" i="4"/>
  <c r="AE42" i="4"/>
  <c r="AE41" i="4"/>
  <c r="AE40" i="4"/>
  <c r="AE36" i="4" l="1"/>
  <c r="AE35" i="4"/>
  <c r="AE34" i="4"/>
  <c r="AE33" i="4"/>
  <c r="AE37" i="4"/>
  <c r="AE38" i="4"/>
  <c r="AE39" i="4"/>
  <c r="AE32" i="4" l="1"/>
  <c r="AE31" i="4" l="1"/>
  <c r="AE29" i="4" l="1"/>
  <c r="AE30" i="4"/>
  <c r="AE28" i="4" l="1"/>
  <c r="AE16" i="4"/>
  <c r="AE17" i="4"/>
  <c r="AE18" i="4"/>
  <c r="AE19" i="4"/>
  <c r="AE20" i="4"/>
  <c r="AE21" i="4"/>
  <c r="AE22" i="4"/>
  <c r="AE23" i="4"/>
  <c r="AE24" i="4"/>
  <c r="AE25" i="4"/>
  <c r="AE26" i="4"/>
  <c r="AE27" i="4"/>
</calcChain>
</file>

<file path=xl/sharedStrings.xml><?xml version="1.0" encoding="utf-8"?>
<sst xmlns="http://schemas.openxmlformats.org/spreadsheetml/2006/main" count="42" uniqueCount="41">
  <si>
    <t xml:space="preserve">PONDERADORES DE COMERCIO INTERNACIONAL </t>
  </si>
  <si>
    <t>p</t>
  </si>
  <si>
    <t>AÑOS</t>
  </si>
  <si>
    <t>FUENTE:</t>
  </si>
  <si>
    <t>ELABORACIÓN:</t>
  </si>
  <si>
    <t>NOTA:</t>
  </si>
  <si>
    <t>Cifras de comercio exterior del Instituto Nacional de Estadística.</t>
  </si>
  <si>
    <t>p Cifras preliminares</t>
  </si>
  <si>
    <t>Banco Central de Bolivia - Asesoría de Política Económica - Sector Externo</t>
  </si>
  <si>
    <t>Australia</t>
  </si>
  <si>
    <t>Argentina</t>
  </si>
  <si>
    <t>Brasil</t>
  </si>
  <si>
    <t>Chile</t>
  </si>
  <si>
    <t>China</t>
  </si>
  <si>
    <t>Colombia</t>
  </si>
  <si>
    <t>Corea del Sur</t>
  </si>
  <si>
    <t>Dinamarca</t>
  </si>
  <si>
    <t>Ecuador</t>
  </si>
  <si>
    <t>El Salvador</t>
  </si>
  <si>
    <t>Estados Unidos</t>
  </si>
  <si>
    <t>Malasia</t>
  </si>
  <si>
    <t>Paraguay</t>
  </si>
  <si>
    <t>Reino Unido</t>
  </si>
  <si>
    <t>Suecia</t>
  </si>
  <si>
    <t>Suiza</t>
  </si>
  <si>
    <t>Uruguay</t>
  </si>
  <si>
    <t>Republica Bolivariana de Venezuela</t>
  </si>
  <si>
    <t>Zona del Euro</t>
  </si>
  <si>
    <t>Suma Ponderadores</t>
  </si>
  <si>
    <t>Antillas Holandesas</t>
  </si>
  <si>
    <t>India</t>
  </si>
  <si>
    <t>Japón</t>
  </si>
  <si>
    <t>México</t>
  </si>
  <si>
    <t>Perú</t>
  </si>
  <si>
    <t>Canadá</t>
  </si>
  <si>
    <t>Panamá</t>
  </si>
  <si>
    <t xml:space="preserve"> (En porcentaje)</t>
  </si>
  <si>
    <t>Emiratos Árabes Unidos</t>
  </si>
  <si>
    <t>Sólo se incluyen los países con los que el comercio exterior de Bolivia representó al menos 0.50% del total</t>
  </si>
  <si>
    <t>1991 - 2024</t>
  </si>
  <si>
    <t>CUADRO Nº 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</si>
</sst>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0"/>
    <numFmt numFmtId="165" formatCode="#."/>
    <numFmt numFmtId="166" formatCode="_-* #,##0.00\ [$€]_-;\-* #,##0.00\ [$€]_-;_-* &quot;-&quot;??\ [$€]_-;_-@_-"/>
    <numFmt numFmtId="167" formatCode="dd/mm/yy\ h:mm"/>
    <numFmt numFmtId="168" formatCode="#,##0.00___);\(#,##0.00\)"/>
  </numFmts>
  <fonts count="16" x14ac:knownFonts="1">
    <font>
      <sz val="10"/>
      <name val="Times New Roman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i/>
      <sz val="1"/>
      <color indexed="16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b/>
      <u/>
      <sz val="1"/>
      <color indexed="16"/>
      <name val="Courier"/>
      <family val="3"/>
    </font>
    <font>
      <sz val="12"/>
      <name val="Courier"/>
      <family val="3"/>
    </font>
    <font>
      <sz val="7"/>
      <name val="Arial"/>
      <family val="2"/>
    </font>
    <font>
      <b/>
      <sz val="10"/>
      <name val="Arial"/>
      <family val="2"/>
    </font>
    <font>
      <vertAlign val="superscript"/>
      <sz val="10"/>
      <name val="Arial"/>
      <family val="2"/>
    </font>
    <font>
      <b/>
      <sz val="14"/>
      <name val="Times New Roman"/>
      <family val="1"/>
    </font>
    <font>
      <sz val="10"/>
      <name val="Times New Roman"/>
      <family val="1"/>
    </font>
    <font>
      <b/>
      <sz val="20"/>
      <name val="Times New Roman"/>
      <family val="1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166" fontId="8" fillId="0" borderId="0" applyFont="0" applyFill="0" applyBorder="0" applyAlignment="0" applyProtection="0"/>
    <xf numFmtId="165" fontId="4" fillId="0" borderId="0">
      <protection locked="0"/>
    </xf>
    <xf numFmtId="165" fontId="5" fillId="0" borderId="0">
      <protection locked="0"/>
    </xf>
    <xf numFmtId="165" fontId="5" fillId="0" borderId="0">
      <protection locked="0"/>
    </xf>
    <xf numFmtId="165" fontId="4" fillId="0" borderId="0">
      <protection locked="0"/>
    </xf>
    <xf numFmtId="165" fontId="6" fillId="0" borderId="0">
      <protection locked="0"/>
    </xf>
    <xf numFmtId="165" fontId="7" fillId="0" borderId="0">
      <protection locked="0"/>
    </xf>
    <xf numFmtId="165" fontId="4" fillId="0" borderId="0">
      <protection locked="0"/>
    </xf>
    <xf numFmtId="0" fontId="1" fillId="0" borderId="0"/>
  </cellStyleXfs>
  <cellXfs count="61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Border="1"/>
    <xf numFmtId="0" fontId="2" fillId="0" borderId="1" xfId="0" applyFont="1" applyBorder="1"/>
    <xf numFmtId="0" fontId="2" fillId="0" borderId="2" xfId="0" applyFont="1" applyBorder="1"/>
    <xf numFmtId="0" fontId="11" fillId="0" borderId="2" xfId="0" applyFont="1" applyBorder="1"/>
    <xf numFmtId="0" fontId="12" fillId="0" borderId="0" xfId="0" applyFont="1"/>
    <xf numFmtId="0" fontId="13" fillId="0" borderId="0" xfId="0" applyFont="1"/>
    <xf numFmtId="0" fontId="15" fillId="0" borderId="0" xfId="0" applyFont="1"/>
    <xf numFmtId="0" fontId="13" fillId="0" borderId="0" xfId="0" applyFont="1" applyBorder="1"/>
    <xf numFmtId="2" fontId="2" fillId="0" borderId="1" xfId="0" applyNumberFormat="1" applyFont="1" applyBorder="1"/>
    <xf numFmtId="0" fontId="1" fillId="0" borderId="0" xfId="0" applyFont="1" applyBorder="1"/>
    <xf numFmtId="0" fontId="15" fillId="0" borderId="0" xfId="0" applyFont="1" applyBorder="1"/>
    <xf numFmtId="168" fontId="2" fillId="0" borderId="0" xfId="0" applyNumberFormat="1" applyFont="1" applyBorder="1"/>
    <xf numFmtId="0" fontId="1" fillId="0" borderId="0" xfId="0" applyFont="1" applyFill="1"/>
    <xf numFmtId="0" fontId="0" fillId="0" borderId="0" xfId="0" applyFill="1"/>
    <xf numFmtId="0" fontId="1" fillId="0" borderId="0" xfId="0" applyFont="1" applyFill="1" applyBorder="1"/>
    <xf numFmtId="164" fontId="0" fillId="0" borderId="0" xfId="0" applyNumberFormat="1" applyFill="1"/>
    <xf numFmtId="167" fontId="9" fillId="0" borderId="0" xfId="0" applyNumberFormat="1" applyFont="1" applyFill="1" applyAlignment="1">
      <alignment horizontal="left"/>
    </xf>
    <xf numFmtId="2" fontId="0" fillId="0" borderId="0" xfId="0" applyNumberFormat="1" applyFill="1"/>
    <xf numFmtId="0" fontId="15" fillId="0" borderId="0" xfId="0" applyFont="1" applyAlignment="1">
      <alignment horizontal="left" indent="1"/>
    </xf>
    <xf numFmtId="0" fontId="15" fillId="0" borderId="0" xfId="0" applyFont="1" applyFill="1"/>
    <xf numFmtId="0" fontId="11" fillId="0" borderId="0" xfId="0" applyFont="1" applyBorder="1"/>
    <xf numFmtId="0" fontId="1" fillId="0" borderId="5" xfId="0" applyFont="1" applyBorder="1"/>
    <xf numFmtId="0" fontId="1" fillId="0" borderId="7" xfId="0" applyFont="1" applyBorder="1"/>
    <xf numFmtId="0" fontId="1" fillId="0" borderId="6" xfId="0" applyFont="1" applyBorder="1"/>
    <xf numFmtId="0" fontId="1" fillId="0" borderId="8" xfId="0" applyFont="1" applyBorder="1"/>
    <xf numFmtId="0" fontId="0" fillId="0" borderId="0" xfId="0" applyFill="1" applyBorder="1"/>
    <xf numFmtId="164" fontId="0" fillId="0" borderId="0" xfId="0" applyNumberFormat="1" applyFill="1" applyBorder="1"/>
    <xf numFmtId="0" fontId="14" fillId="0" borderId="0" xfId="0" applyFont="1" applyAlignment="1">
      <alignment horizontal="centerContinuous"/>
    </xf>
    <xf numFmtId="0" fontId="14" fillId="0" borderId="0" xfId="0" applyFont="1" applyBorder="1" applyAlignment="1">
      <alignment horizontal="centerContinuous"/>
    </xf>
    <xf numFmtId="0" fontId="13" fillId="0" borderId="0" xfId="0" applyFont="1" applyAlignment="1">
      <alignment horizontal="centerContinuous"/>
    </xf>
    <xf numFmtId="0" fontId="3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2" fontId="1" fillId="0" borderId="0" xfId="0" applyNumberFormat="1" applyFont="1"/>
    <xf numFmtId="0" fontId="2" fillId="0" borderId="7" xfId="0" applyFont="1" applyBorder="1"/>
    <xf numFmtId="2" fontId="2" fillId="0" borderId="2" xfId="0" applyNumberFormat="1" applyFont="1" applyBorder="1"/>
    <xf numFmtId="0" fontId="1" fillId="0" borderId="4" xfId="0" applyFont="1" applyBorder="1"/>
    <xf numFmtId="168" fontId="2" fillId="0" borderId="4" xfId="0" applyNumberFormat="1" applyFont="1" applyBorder="1"/>
    <xf numFmtId="0" fontId="2" fillId="0" borderId="6" xfId="0" applyFont="1" applyBorder="1"/>
    <xf numFmtId="0" fontId="2" fillId="0" borderId="8" xfId="0" applyFont="1" applyBorder="1"/>
    <xf numFmtId="0" fontId="10" fillId="0" borderId="5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4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</cellXfs>
  <cellStyles count="10">
    <cellStyle name="Euro" xfId="1"/>
    <cellStyle name="F2" xfId="2"/>
    <cellStyle name="F3" xfId="3"/>
    <cellStyle name="F4" xfId="4"/>
    <cellStyle name="F5" xfId="5"/>
    <cellStyle name="F6" xfId="6"/>
    <cellStyle name="F7" xfId="7"/>
    <cellStyle name="F8" xfId="8"/>
    <cellStyle name="Normal" xfId="0" builtinId="0"/>
    <cellStyle name="Normal 3" xfId="9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ral-mzubieta\Mensual\_2005\Boletin%20Mensual\Bk%20Febrero_05%20(16_03)\REER10%20(base%201996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ico1"/>
      <sheetName val="datos"/>
      <sheetName val="d24.05"/>
      <sheetName val="lb 26.05"/>
      <sheetName val="d30.06"/>
      <sheetName val="d03.07"/>
      <sheetName val="d14.08"/>
      <sheetName val="lb18.08"/>
      <sheetName val="cons10.07.00"/>
      <sheetName val="UBSJul._Ago."/>
      <sheetName val="d+btk_sep00"/>
      <sheetName val="cons.07.08"/>
      <sheetName val="fff09_lah10"/>
      <sheetName val="db_lah10"/>
      <sheetName val="cons.11.09"/>
      <sheetName val="fff10_hla11"/>
      <sheetName val="lb11_fff10"/>
      <sheetName val="lb11_fff11"/>
      <sheetName val="cons.13.11"/>
      <sheetName val="lb17_fff11"/>
      <sheetName val="lb17_cb11"/>
      <sheetName val="ejercicio"/>
      <sheetName val="EJ.2"/>
      <sheetName val="EJ3"/>
      <sheetName val="ibinfnov00"/>
      <sheetName val="lb0112"/>
      <sheetName val="cons13.11a"/>
      <sheetName val="hla1201"/>
      <sheetName val="hla1201_db12"/>
      <sheetName val="lb0812"/>
      <sheetName val="cons11.12"/>
      <sheetName val="cons08.01"/>
      <sheetName val="fff01.01"/>
      <sheetName val="las01_fff01"/>
      <sheetName val="lb2601"/>
      <sheetName val="cons12.02"/>
      <sheetName val="hla02_fff02"/>
      <sheetName val="lb2302"/>
      <sheetName val="las0301"/>
      <sheetName val="cons12.03"/>
      <sheetName val="las_fff03"/>
      <sheetName val="hla04"/>
      <sheetName val="cons0904"/>
      <sheetName val="hla_fff04"/>
      <sheetName val="hla04_fff05"/>
      <sheetName val="cons1405"/>
      <sheetName val="lb1805"/>
      <sheetName val="lb2505"/>
      <sheetName val="las_06"/>
      <sheetName val="las_fff_06"/>
      <sheetName val="lb0806"/>
      <sheetName val="cons1106"/>
      <sheetName val="lb2206"/>
      <sheetName val="lb2806"/>
      <sheetName val="las0701"/>
      <sheetName val="cons0907"/>
      <sheetName val="fff0701"/>
      <sheetName val="lb1307"/>
      <sheetName val="las_fff0801"/>
      <sheetName val="cons1308"/>
      <sheetName val="lb1008"/>
      <sheetName val="lb2808"/>
      <sheetName val="las0901"/>
      <sheetName val="cons1009"/>
      <sheetName val="las10_fff09"/>
      <sheetName val="las_fff10"/>
      <sheetName val="cons1211"/>
      <sheetName val="las_fff11"/>
      <sheetName val="las1201"/>
      <sheetName val="cons1012"/>
      <sheetName val="las_fff12"/>
      <sheetName val="cons1401"/>
      <sheetName val="las2_fff1"/>
      <sheetName val="cons1102"/>
      <sheetName val="las3_fff2"/>
      <sheetName val="las_fff3"/>
      <sheetName val="cons1103"/>
      <sheetName val="las04_fff03"/>
      <sheetName val="las_fff4"/>
      <sheetName val="cons0804"/>
      <sheetName val="las0502"/>
      <sheetName val="las_fff5"/>
      <sheetName val="las_0602"/>
      <sheetName val="las_0602 fff6"/>
      <sheetName val="las_06_fff07"/>
      <sheetName val="las_08_fff08"/>
      <sheetName val="las09_fff08"/>
      <sheetName val="las_fff_09"/>
      <sheetName val="las10_ff0902"/>
      <sheetName val="las_fff1002"/>
      <sheetName val="las10_fff11"/>
      <sheetName val="las12_fff11"/>
      <sheetName val="3%"/>
      <sheetName val="4-5%"/>
      <sheetName val="las_fff1202"/>
      <sheetName val="fff0103"/>
      <sheetName val="las_fff0103or"/>
      <sheetName val="las_fff0103ch"/>
      <sheetName val="las01_fff0203"/>
      <sheetName val="las_fff0303"/>
      <sheetName val="cons0203"/>
      <sheetName val="cons0303"/>
      <sheetName val="fff0403"/>
      <sheetName val="cons0403"/>
      <sheetName val="fff_las0403"/>
      <sheetName val="cons0503"/>
      <sheetName val="fff0503"/>
      <sheetName val="las0603"/>
      <sheetName val="cons0603"/>
      <sheetName val="lasfff0603"/>
      <sheetName val="lasfff0703"/>
      <sheetName val="cons0703"/>
      <sheetName val="fff0803"/>
      <sheetName val="cons0803"/>
      <sheetName val="las0903"/>
      <sheetName val="cons0903"/>
      <sheetName val="fff0903"/>
      <sheetName val="cons1003"/>
      <sheetName val="fff1003"/>
      <sheetName val="las1103"/>
      <sheetName val="consf1103"/>
      <sheetName val="cons1203"/>
      <sheetName val="cons0104"/>
      <sheetName val="ag0104"/>
      <sheetName val="cons0204"/>
      <sheetName val="cons0304"/>
      <sheetName val="cons0404"/>
      <sheetName val="cons0504"/>
      <sheetName val="las06fff0504"/>
      <sheetName val="cons0604"/>
      <sheetName val="cons082004"/>
      <sheetName val="cons092004"/>
      <sheetName val="dresd0904"/>
      <sheetName val="cons122004"/>
      <sheetName val="ultimos_supuestos"/>
      <sheetName val="datos_graf"/>
      <sheetName val="REER"/>
      <sheetName val="reporte"/>
      <sheetName val="REER_ipca"/>
      <sheetName val="escenarios"/>
      <sheetName val="Hoja1"/>
      <sheetName val="d24_05"/>
      <sheetName val="lb_26_05"/>
      <sheetName val="d30_06"/>
      <sheetName val="d03_07"/>
      <sheetName val="d14_08"/>
      <sheetName val="lb18_08"/>
      <sheetName val="cons10_07_00"/>
      <sheetName val="UBSJul__Ago_"/>
      <sheetName val="cons_07_08"/>
      <sheetName val="cons_11_09"/>
      <sheetName val="cons_13_11"/>
      <sheetName val="EJ_2"/>
      <sheetName val="cons13_11a"/>
      <sheetName val="cons11_12"/>
      <sheetName val="cons08_01"/>
      <sheetName val="fff01_01"/>
      <sheetName val="cons12_02"/>
      <sheetName val="cons12_03"/>
      <sheetName val="las_0602_fff6"/>
      <sheetName val="Grafico 4.2"/>
      <sheetName val="d24_052"/>
      <sheetName val="lb_26_052"/>
      <sheetName val="d30_062"/>
      <sheetName val="d03_072"/>
      <sheetName val="d14_082"/>
      <sheetName val="lb18_082"/>
      <sheetName val="cons10_07_002"/>
      <sheetName val="UBSJul__Ago_2"/>
      <sheetName val="cons_07_082"/>
      <sheetName val="cons_11_092"/>
      <sheetName val="cons_13_112"/>
      <sheetName val="EJ_22"/>
      <sheetName val="cons13_11a2"/>
      <sheetName val="cons11_122"/>
      <sheetName val="cons08_012"/>
      <sheetName val="fff01_012"/>
      <sheetName val="cons12_022"/>
      <sheetName val="cons12_032"/>
      <sheetName val="las_0602_fff62"/>
      <sheetName val="d24_051"/>
      <sheetName val="lb_26_051"/>
      <sheetName val="d30_061"/>
      <sheetName val="d03_071"/>
      <sheetName val="d14_081"/>
      <sheetName val="lb18_081"/>
      <sheetName val="cons10_07_001"/>
      <sheetName val="UBSJul__Ago_1"/>
      <sheetName val="cons_07_081"/>
      <sheetName val="cons_11_091"/>
      <sheetName val="cons_13_111"/>
      <sheetName val="EJ_21"/>
      <sheetName val="cons13_11a1"/>
      <sheetName val="cons11_121"/>
      <sheetName val="cons08_011"/>
      <sheetName val="fff01_011"/>
      <sheetName val="cons12_021"/>
      <sheetName val="cons12_031"/>
      <sheetName val="las_0602_fff61"/>
      <sheetName val="d24_053"/>
      <sheetName val="lb_26_053"/>
      <sheetName val="d30_063"/>
      <sheetName val="d03_073"/>
      <sheetName val="d14_083"/>
      <sheetName val="lb18_083"/>
      <sheetName val="cons10_07_003"/>
      <sheetName val="UBSJul__Ago_3"/>
      <sheetName val="cons_07_083"/>
      <sheetName val="cons_11_093"/>
      <sheetName val="cons_13_113"/>
      <sheetName val="EJ_23"/>
      <sheetName val="cons13_11a3"/>
      <sheetName val="cons11_123"/>
      <sheetName val="cons08_013"/>
      <sheetName val="fff01_013"/>
      <sheetName val="cons12_023"/>
      <sheetName val="cons12_033"/>
      <sheetName val="las_0602_fff63"/>
      <sheetName val="Grafico_4_21"/>
      <sheetName val="Grafico_4_2"/>
      <sheetName val="Grafico_4_22"/>
      <sheetName val="Grafico_4_23"/>
      <sheetName val="d24_054"/>
      <sheetName val="lb_26_054"/>
      <sheetName val="d30_064"/>
      <sheetName val="d03_074"/>
      <sheetName val="d14_084"/>
      <sheetName val="lb18_084"/>
      <sheetName val="cons10_07_004"/>
      <sheetName val="UBSJul__Ago_4"/>
      <sheetName val="cons_07_084"/>
      <sheetName val="cons_11_094"/>
      <sheetName val="cons_13_114"/>
      <sheetName val="EJ_24"/>
      <sheetName val="cons13_11a4"/>
      <sheetName val="cons11_124"/>
      <sheetName val="cons08_014"/>
      <sheetName val="fff01_014"/>
      <sheetName val="cons12_024"/>
      <sheetName val="cons12_034"/>
      <sheetName val="las_0602_fff64"/>
      <sheetName val="Grafico_4_24"/>
      <sheetName val="A"/>
      <sheetName val="C"/>
      <sheetName val="BaseMone"/>
      <sheetName val="EGLP PL"/>
      <sheetName val="EG"/>
      <sheetName val="eje 2004"/>
      <sheetName val="summary t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>
        <row r="2">
          <cell r="CA2" t="str">
            <v>INDICE DEL TIPO DE CAMBIO EFECTIVO Y REAL</v>
          </cell>
        </row>
        <row r="3">
          <cell r="CA3" t="str">
            <v>CON RESPECTO A LOS PRINCIPALES SOCIOS COMERCIALES DE BOLIVIA</v>
          </cell>
        </row>
        <row r="4">
          <cell r="CA4" t="str">
            <v>(Prom. 1996=100)</v>
          </cell>
        </row>
        <row r="6">
          <cell r="CA6" t="str">
            <v xml:space="preserve"> </v>
          </cell>
          <cell r="CB6" t="str">
            <v>Argentina</v>
          </cell>
          <cell r="CC6" t="str">
            <v>BOLIVIA</v>
          </cell>
          <cell r="CD6" t="str">
            <v>Brasil</v>
          </cell>
          <cell r="CE6" t="str">
            <v>Chile</v>
          </cell>
          <cell r="CF6" t="str">
            <v>Peru</v>
          </cell>
          <cell r="CG6" t="str">
            <v>Colombia</v>
          </cell>
          <cell r="CH6" t="str">
            <v>Alemania</v>
          </cell>
          <cell r="CI6" t="str">
            <v>Reino Unido</v>
          </cell>
          <cell r="CJ6" t="str">
            <v>Suiza</v>
          </cell>
          <cell r="CK6" t="str">
            <v>Japón</v>
          </cell>
          <cell r="CL6" t="str">
            <v>EE. UU.</v>
          </cell>
          <cell r="CM6" t="str">
            <v>Multilateral</v>
          </cell>
        </row>
        <row r="7">
          <cell r="CE7">
            <v>8.6978841779556407E-2</v>
          </cell>
          <cell r="CF7">
            <v>0.1255464762022129</v>
          </cell>
          <cell r="CG7">
            <v>7.3210191364711075E-2</v>
          </cell>
          <cell r="CH7">
            <v>6.314868029927477E-2</v>
          </cell>
          <cell r="CI7">
            <v>8.806934766973798E-2</v>
          </cell>
          <cell r="CJ7">
            <v>6.1038077802168196E-2</v>
          </cell>
          <cell r="CK7">
            <v>0.1171040107293866</v>
          </cell>
          <cell r="CL7">
            <v>0.38490437415295203</v>
          </cell>
          <cell r="CM7">
            <v>1</v>
          </cell>
        </row>
        <row r="8">
          <cell r="CB8">
            <v>9.5356336600205635E-2</v>
          </cell>
          <cell r="CD8">
            <v>0.25</v>
          </cell>
          <cell r="CE8">
            <v>5.6940147620839904E-2</v>
          </cell>
          <cell r="CF8">
            <v>8.2188205107951759E-2</v>
          </cell>
          <cell r="CG8">
            <v>4.7926587873194454E-2</v>
          </cell>
          <cell r="CH8">
            <v>4.1339883409979662E-2</v>
          </cell>
          <cell r="CI8">
            <v>5.7654040391747416E-2</v>
          </cell>
          <cell r="CJ8">
            <v>3.9958190859293051E-2</v>
          </cell>
          <cell r="CK8">
            <v>7.6661398582694482E-2</v>
          </cell>
          <cell r="CL8">
            <v>0.25197520955409369</v>
          </cell>
        </row>
        <row r="9">
          <cell r="CB9">
            <v>0.11488142844350771</v>
          </cell>
          <cell r="CD9">
            <v>9.6387442358190009E-2</v>
          </cell>
          <cell r="CE9">
            <v>6.8599169469899482E-2</v>
          </cell>
          <cell r="CF9">
            <v>9.9017000239805086E-2</v>
          </cell>
          <cell r="CG9">
            <v>5.774E-2</v>
          </cell>
          <cell r="CH9">
            <v>4.9804606879332323E-2</v>
          </cell>
          <cell r="CI9">
            <v>6.9459238388247302E-2</v>
          </cell>
          <cell r="CJ9">
            <v>4.8140000000000002E-2</v>
          </cell>
          <cell r="CK9">
            <v>9.2358528962594888E-2</v>
          </cell>
          <cell r="CL9">
            <v>0.30356946415938602</v>
          </cell>
          <cell r="CM9">
            <v>0.99995687890096274</v>
          </cell>
        </row>
        <row r="11">
          <cell r="CA11">
            <v>32904</v>
          </cell>
          <cell r="CB11">
            <v>33.487675134370853</v>
          </cell>
          <cell r="CD11">
            <v>24.590167447000606</v>
          </cell>
          <cell r="CE11">
            <v>72.580363164494216</v>
          </cell>
          <cell r="CF11">
            <v>56.81118434788872</v>
          </cell>
          <cell r="CG11">
            <v>68.880048818278155</v>
          </cell>
          <cell r="CH11">
            <v>90.980243748804767</v>
          </cell>
          <cell r="CI11">
            <v>102.85987888896931</v>
          </cell>
          <cell r="CJ11">
            <v>85.468068014598671</v>
          </cell>
          <cell r="CK11">
            <v>85.121672475579743</v>
          </cell>
          <cell r="CL11">
            <v>100.11396301502702</v>
          </cell>
          <cell r="CM11">
            <v>68.015721873555194</v>
          </cell>
        </row>
        <row r="12">
          <cell r="CA12">
            <v>32932</v>
          </cell>
          <cell r="CB12">
            <v>17.43813743626588</v>
          </cell>
          <cell r="CD12">
            <v>23.751490656839945</v>
          </cell>
          <cell r="CE12">
            <v>71.832008766409444</v>
          </cell>
          <cell r="CF12">
            <v>68.255533386832838</v>
          </cell>
          <cell r="CG12">
            <v>70.256532264075133</v>
          </cell>
          <cell r="CH12">
            <v>93.127743542824646</v>
          </cell>
          <cell r="CI12">
            <v>106.820403681588</v>
          </cell>
          <cell r="CJ12">
            <v>86.730715641217841</v>
          </cell>
          <cell r="CK12">
            <v>84.735237728655505</v>
          </cell>
          <cell r="CL12">
            <v>101.51319377447166</v>
          </cell>
          <cell r="CM12">
            <v>64.606880393690233</v>
          </cell>
        </row>
        <row r="13">
          <cell r="CA13">
            <v>32963</v>
          </cell>
          <cell r="CB13">
            <v>43.135382905051067</v>
          </cell>
          <cell r="CD13">
            <v>38.391337879710932</v>
          </cell>
          <cell r="CE13">
            <v>76.333551610809423</v>
          </cell>
          <cell r="CF13">
            <v>56.410438412458078</v>
          </cell>
          <cell r="CG13">
            <v>71.038072642076102</v>
          </cell>
          <cell r="CH13">
            <v>93.156226572249352</v>
          </cell>
          <cell r="CI13">
            <v>104.54618163896929</v>
          </cell>
          <cell r="CJ13">
            <v>87.217237970880831</v>
          </cell>
          <cell r="CK13">
            <v>80.407603849047518</v>
          </cell>
          <cell r="CL13">
            <v>102.88239723180963</v>
          </cell>
          <cell r="CM13">
            <v>73.891786214228887</v>
          </cell>
        </row>
        <row r="14">
          <cell r="CA14">
            <v>32993</v>
          </cell>
          <cell r="CB14">
            <v>45.727481305106934</v>
          </cell>
          <cell r="CD14">
            <v>45.115996819220769</v>
          </cell>
          <cell r="CE14">
            <v>78.966850701332561</v>
          </cell>
          <cell r="CF14">
            <v>62.04186723677978</v>
          </cell>
          <cell r="CG14">
            <v>71.855491279259638</v>
          </cell>
          <cell r="CH14">
            <v>94.79843755557404</v>
          </cell>
          <cell r="CI14">
            <v>107.63690996241695</v>
          </cell>
          <cell r="CJ14">
            <v>90.350614439359134</v>
          </cell>
          <cell r="CK14">
            <v>80.380742675331703</v>
          </cell>
          <cell r="CL14">
            <v>103.70811075923214</v>
          </cell>
          <cell r="CM14">
            <v>77.035104607543644</v>
          </cell>
        </row>
        <row r="15">
          <cell r="CA15">
            <v>33024</v>
          </cell>
          <cell r="CB15">
            <v>51.327470927047415</v>
          </cell>
          <cell r="CD15">
            <v>41.912734906771256</v>
          </cell>
          <cell r="CE15">
            <v>80.496610552259099</v>
          </cell>
          <cell r="CF15">
            <v>47.322064113779454</v>
          </cell>
          <cell r="CG15">
            <v>71.780291129307074</v>
          </cell>
          <cell r="CH15">
            <v>94.725206051628845</v>
          </cell>
          <cell r="CI15">
            <v>112.81178534769421</v>
          </cell>
          <cell r="CJ15">
            <v>93.406381172317836</v>
          </cell>
          <cell r="CK15">
            <v>85.009070377260727</v>
          </cell>
          <cell r="CL15">
            <v>104.37417655107888</v>
          </cell>
          <cell r="CM15">
            <v>76.463343252647789</v>
          </cell>
        </row>
        <row r="16">
          <cell r="CA16">
            <v>33054</v>
          </cell>
          <cell r="CB16">
            <v>54.223369749522831</v>
          </cell>
          <cell r="CD16">
            <v>46.203078356204145</v>
          </cell>
          <cell r="CE16">
            <v>81.030634981642891</v>
          </cell>
          <cell r="CF16">
            <v>34.231380339247949</v>
          </cell>
          <cell r="CG16">
            <v>70.545092333635267</v>
          </cell>
          <cell r="CH16">
            <v>94.008345114212531</v>
          </cell>
          <cell r="CI16">
            <v>114.56884385224006</v>
          </cell>
          <cell r="CJ16">
            <v>92.444207026361454</v>
          </cell>
          <cell r="CK16">
            <v>82.333114182537656</v>
          </cell>
          <cell r="CL16">
            <v>103.36780082999933</v>
          </cell>
          <cell r="CM16">
            <v>74.753657752696398</v>
          </cell>
        </row>
        <row r="17">
          <cell r="CA17">
            <v>33085</v>
          </cell>
          <cell r="CB17">
            <v>58.315434242812699</v>
          </cell>
          <cell r="CD17">
            <v>56.905177762501914</v>
          </cell>
          <cell r="CE17">
            <v>81.572007573564093</v>
          </cell>
          <cell r="CF17">
            <v>38.299896845680919</v>
          </cell>
          <cell r="CG17">
            <v>69.352812072746289</v>
          </cell>
          <cell r="CH17">
            <v>97.132848374231187</v>
          </cell>
          <cell r="CI17">
            <v>120.81129839734601</v>
          </cell>
          <cell r="CJ17">
            <v>96.066898898706484</v>
          </cell>
          <cell r="CK17">
            <v>84.269147542759413</v>
          </cell>
          <cell r="CL17">
            <v>102.91448517069009</v>
          </cell>
          <cell r="CM17">
            <v>78.351624426700951</v>
          </cell>
        </row>
        <row r="18">
          <cell r="CA18">
            <v>33116</v>
          </cell>
          <cell r="CB18">
            <v>58.260807000706031</v>
          </cell>
          <cell r="CD18">
            <v>63.611868344802858</v>
          </cell>
          <cell r="CE18">
            <v>81.727974759918112</v>
          </cell>
          <cell r="CF18">
            <v>70.367244017268931</v>
          </cell>
          <cell r="CG18">
            <v>68.966872012978897</v>
          </cell>
          <cell r="CH18">
            <v>100.46231725098602</v>
          </cell>
          <cell r="CI18">
            <v>127.57122021544636</v>
          </cell>
          <cell r="CJ18">
            <v>101.81080013813637</v>
          </cell>
          <cell r="CK18">
            <v>87.478215571554429</v>
          </cell>
          <cell r="CL18">
            <v>104.02327810603298</v>
          </cell>
          <cell r="CM18">
            <v>85.356589433292953</v>
          </cell>
        </row>
        <row r="19">
          <cell r="CA19">
            <v>33146</v>
          </cell>
          <cell r="CB19">
            <v>74.679452897092631</v>
          </cell>
          <cell r="CD19">
            <v>66.027324376945899</v>
          </cell>
          <cell r="CE19">
            <v>86.468661355728926</v>
          </cell>
          <cell r="CF19">
            <v>67.306875683955198</v>
          </cell>
          <cell r="CG19">
            <v>69.52856120709032</v>
          </cell>
          <cell r="CH19">
            <v>101.21454414953941</v>
          </cell>
          <cell r="CI19">
            <v>125.98650516523364</v>
          </cell>
          <cell r="CJ19">
            <v>102.00631265559508</v>
          </cell>
          <cell r="CK19">
            <v>92.367917117176916</v>
          </cell>
          <cell r="CL19">
            <v>105.11725715477149</v>
          </cell>
          <cell r="CM19">
            <v>88.826099517405396</v>
          </cell>
        </row>
        <row r="20">
          <cell r="CA20">
            <v>33177</v>
          </cell>
          <cell r="CB20">
            <v>80.246247694697885</v>
          </cell>
          <cell r="CD20">
            <v>57.912053976218047</v>
          </cell>
          <cell r="CE20">
            <v>84.472929828630811</v>
          </cell>
          <cell r="CF20">
            <v>72.846170113905657</v>
          </cell>
          <cell r="CG20">
            <v>67.980750669201157</v>
          </cell>
          <cell r="CH20">
            <v>102.4650875959409</v>
          </cell>
          <cell r="CI20">
            <v>129.09903472442718</v>
          </cell>
          <cell r="CJ20">
            <v>101.30343869292157</v>
          </cell>
          <cell r="CK20">
            <v>97.226089509560055</v>
          </cell>
          <cell r="CL20">
            <v>103.47373253568703</v>
          </cell>
          <cell r="CM20">
            <v>89.045983088284586</v>
          </cell>
        </row>
        <row r="21">
          <cell r="CA21">
            <v>33207</v>
          </cell>
          <cell r="CB21">
            <v>90.661815638359556</v>
          </cell>
          <cell r="CD21">
            <v>45.674607755316593</v>
          </cell>
          <cell r="CE21">
            <v>80.77343885040095</v>
          </cell>
          <cell r="CF21">
            <v>77.110031936513792</v>
          </cell>
          <cell r="CG21">
            <v>67.024523544750991</v>
          </cell>
          <cell r="CH21">
            <v>101.68047182844569</v>
          </cell>
          <cell r="CI21">
            <v>126.45917468909289</v>
          </cell>
          <cell r="CJ21">
            <v>101.15193936647167</v>
          </cell>
          <cell r="CK21">
            <v>93.01387910443573</v>
          </cell>
          <cell r="CL21">
            <v>102.21695605238644</v>
          </cell>
          <cell r="CM21">
            <v>87.561731913883222</v>
          </cell>
        </row>
        <row r="22">
          <cell r="CA22">
            <v>33238</v>
          </cell>
          <cell r="CB22">
            <v>84.330557168566926</v>
          </cell>
          <cell r="CD22">
            <v>47.922894233077585</v>
          </cell>
          <cell r="CE22">
            <v>78.734856461715012</v>
          </cell>
          <cell r="CF22">
            <v>77.630521313223994</v>
          </cell>
          <cell r="CG22">
            <v>66.184019281960147</v>
          </cell>
          <cell r="CH22">
            <v>101.01532155083197</v>
          </cell>
          <cell r="CI22">
            <v>123.41418050878407</v>
          </cell>
          <cell r="CJ22">
            <v>98.60143472867577</v>
          </cell>
          <cell r="CK22">
            <v>90.112831056245227</v>
          </cell>
          <cell r="CL22">
            <v>100.61036516303633</v>
          </cell>
          <cell r="CM22">
            <v>86.130020040350587</v>
          </cell>
        </row>
        <row r="23">
          <cell r="CA23">
            <v>33269</v>
          </cell>
          <cell r="CB23">
            <v>54.014908377481966</v>
          </cell>
          <cell r="CD23">
            <v>43.863485961452938</v>
          </cell>
          <cell r="CE23">
            <v>76.624251981605184</v>
          </cell>
          <cell r="CF23">
            <v>89.45623867382011</v>
          </cell>
          <cell r="CG23">
            <v>64.868014037504977</v>
          </cell>
          <cell r="CH23">
            <v>99.581780466447114</v>
          </cell>
          <cell r="CI23">
            <v>122.18504542915993</v>
          </cell>
          <cell r="CJ23">
            <v>98.580296870405576</v>
          </cell>
          <cell r="CK23">
            <v>90.489719448674308</v>
          </cell>
          <cell r="CL23">
            <v>98.038525776530378</v>
          </cell>
          <cell r="CM23">
            <v>81.310229136992149</v>
          </cell>
        </row>
        <row r="24">
          <cell r="CA24">
            <v>33297</v>
          </cell>
          <cell r="CB24">
            <v>65.093516860898475</v>
          </cell>
          <cell r="CD24">
            <v>50.272749843048189</v>
          </cell>
          <cell r="CE24">
            <v>77.571096887560458</v>
          </cell>
          <cell r="CF24">
            <v>91.957856013772471</v>
          </cell>
          <cell r="CG24">
            <v>66.753320159775527</v>
          </cell>
          <cell r="CH24">
            <v>97.792190127752448</v>
          </cell>
          <cell r="CI24">
            <v>120.92977869860735</v>
          </cell>
          <cell r="CJ24">
            <v>96.731817706561301</v>
          </cell>
          <cell r="CK24">
            <v>90.23588145259383</v>
          </cell>
          <cell r="CL24">
            <v>99.335556825172986</v>
          </cell>
          <cell r="CM24">
            <v>84.713623451628806</v>
          </cell>
        </row>
        <row r="25">
          <cell r="CA25">
            <v>33328</v>
          </cell>
          <cell r="CB25">
            <v>74.200169547418398</v>
          </cell>
          <cell r="CD25">
            <v>50.866480329025229</v>
          </cell>
          <cell r="CE25">
            <v>76.747545154736258</v>
          </cell>
          <cell r="CF25">
            <v>98.695460899548166</v>
          </cell>
          <cell r="CG25">
            <v>67.0836640323746</v>
          </cell>
          <cell r="CH25">
            <v>86.805553824318963</v>
          </cell>
          <cell r="CI25">
            <v>109.99497280884746</v>
          </cell>
          <cell r="CJ25">
            <v>86.953864516320493</v>
          </cell>
          <cell r="CK25">
            <v>85.74877696323982</v>
          </cell>
          <cell r="CL25">
            <v>99.13687455719419</v>
          </cell>
          <cell r="CM25">
            <v>84.693429545796391</v>
          </cell>
        </row>
        <row r="26">
          <cell r="CA26">
            <v>33358</v>
          </cell>
          <cell r="CB26">
            <v>76.387885852370729</v>
          </cell>
          <cell r="CD26">
            <v>49.348455038889917</v>
          </cell>
          <cell r="CE26">
            <v>80.024982832883339</v>
          </cell>
          <cell r="CF26">
            <v>83.867805406112637</v>
          </cell>
          <cell r="CG26">
            <v>68.073527550739342</v>
          </cell>
          <cell r="CH26">
            <v>86.424102777925981</v>
          </cell>
          <cell r="CI26">
            <v>109.91814712064658</v>
          </cell>
          <cell r="CJ26">
            <v>87.259275035039508</v>
          </cell>
          <cell r="CK26">
            <v>88.098818932580642</v>
          </cell>
          <cell r="CL26">
            <v>99.640611903536282</v>
          </cell>
          <cell r="CM26">
            <v>84.014320374756991</v>
          </cell>
        </row>
        <row r="27">
          <cell r="CA27">
            <v>33389</v>
          </cell>
          <cell r="CB27">
            <v>78.098367280919121</v>
          </cell>
          <cell r="CD27">
            <v>49.211277072935623</v>
          </cell>
          <cell r="CE27">
            <v>80.546693603411754</v>
          </cell>
          <cell r="CF27">
            <v>76.891300154357992</v>
          </cell>
          <cell r="CG27">
            <v>68.278762195822452</v>
          </cell>
          <cell r="CH27">
            <v>87.209998979120854</v>
          </cell>
          <cell r="CI27">
            <v>110.79699479965032</v>
          </cell>
          <cell r="CJ27">
            <v>87.480049793911505</v>
          </cell>
          <cell r="CK27">
            <v>87.613660648182147</v>
          </cell>
          <cell r="CL27">
            <v>99.712148662208349</v>
          </cell>
          <cell r="CM27">
            <v>83.606106008349741</v>
          </cell>
        </row>
        <row r="28">
          <cell r="CA28">
            <v>33419</v>
          </cell>
          <cell r="CB28">
            <v>79.754754530949313</v>
          </cell>
          <cell r="CD28">
            <v>50.054796869010843</v>
          </cell>
          <cell r="CE28">
            <v>80.328137617467519</v>
          </cell>
          <cell r="CF28">
            <v>81.622459476167819</v>
          </cell>
          <cell r="CG28">
            <v>67.909661853293954</v>
          </cell>
          <cell r="CH28">
            <v>81.784926142283709</v>
          </cell>
          <cell r="CI28">
            <v>102.99282356812103</v>
          </cell>
          <cell r="CJ28">
            <v>82.324019894979358</v>
          </cell>
          <cell r="CK28">
            <v>86.135518392115245</v>
          </cell>
          <cell r="CL28">
            <v>99.532266569025637</v>
          </cell>
          <cell r="CM28">
            <v>83.284524792332732</v>
          </cell>
        </row>
        <row r="29">
          <cell r="CA29">
            <v>33450</v>
          </cell>
          <cell r="CB29">
            <v>81.94120369193692</v>
          </cell>
          <cell r="CD29">
            <v>50.705451445608993</v>
          </cell>
          <cell r="CE29">
            <v>81.742471803408463</v>
          </cell>
          <cell r="CF29">
            <v>92.308337638932258</v>
          </cell>
          <cell r="CG29">
            <v>68.00045685231278</v>
          </cell>
          <cell r="CH29">
            <v>86.338343762721948</v>
          </cell>
          <cell r="CI29">
            <v>107.60392058958568</v>
          </cell>
          <cell r="CJ29">
            <v>84.282051669484943</v>
          </cell>
          <cell r="CK29">
            <v>87.14521692279466</v>
          </cell>
          <cell r="CL29">
            <v>99.674826512502818</v>
          </cell>
          <cell r="CM29">
            <v>85.4946843537939</v>
          </cell>
        </row>
        <row r="30">
          <cell r="CA30">
            <v>33481</v>
          </cell>
          <cell r="CB30">
            <v>82.659897857955826</v>
          </cell>
          <cell r="CD30">
            <v>51.030823801490591</v>
          </cell>
          <cell r="CE30">
            <v>81.089191488757876</v>
          </cell>
          <cell r="CF30">
            <v>101.9905251313259</v>
          </cell>
          <cell r="CG30">
            <v>67.205466334293845</v>
          </cell>
          <cell r="CH30">
            <v>86.429144197964064</v>
          </cell>
          <cell r="CI30">
            <v>107.82101644657153</v>
          </cell>
          <cell r="CJ30">
            <v>84.432159865288909</v>
          </cell>
          <cell r="CK30">
            <v>87.418793095220309</v>
          </cell>
          <cell r="CL30">
            <v>99.499405676025447</v>
          </cell>
          <cell r="CM30">
            <v>86.379791728674661</v>
          </cell>
        </row>
        <row r="31">
          <cell r="CA31">
            <v>33511</v>
          </cell>
          <cell r="CB31">
            <v>85.162999578440804</v>
          </cell>
          <cell r="CD31">
            <v>51.836089957842383</v>
          </cell>
          <cell r="CE31">
            <v>81.888974952967757</v>
          </cell>
          <cell r="CF31">
            <v>102.19159723080328</v>
          </cell>
          <cell r="CG31">
            <v>67.095879630512172</v>
          </cell>
          <cell r="CH31">
            <v>91.216701778450243</v>
          </cell>
          <cell r="CI31">
            <v>113.16589369376054</v>
          </cell>
          <cell r="CJ31">
            <v>89.49062813884791</v>
          </cell>
          <cell r="CK31">
            <v>91.103973754153159</v>
          </cell>
          <cell r="CL31">
            <v>100.6169418830499</v>
          </cell>
          <cell r="CM31">
            <v>88.28013015211188</v>
          </cell>
        </row>
        <row r="32">
          <cell r="CA32">
            <v>33542</v>
          </cell>
          <cell r="CB32">
            <v>85.865989930961291</v>
          </cell>
          <cell r="CD32">
            <v>39.478729081220969</v>
          </cell>
          <cell r="CE32">
            <v>83.088110611160943</v>
          </cell>
          <cell r="CF32">
            <v>90.518246585320654</v>
          </cell>
          <cell r="CG32">
            <v>66.495250627749897</v>
          </cell>
          <cell r="CH32">
            <v>90.573323019826802</v>
          </cell>
          <cell r="CI32">
            <v>112.51480993036802</v>
          </cell>
          <cell r="CJ32">
            <v>87.913411357607117</v>
          </cell>
          <cell r="CK32">
            <v>92.673242202652702</v>
          </cell>
          <cell r="CL32">
            <v>100.34249570214371</v>
          </cell>
          <cell r="CM32">
            <v>85.01410066836705</v>
          </cell>
        </row>
        <row r="33">
          <cell r="CA33">
            <v>33572</v>
          </cell>
          <cell r="CB33">
            <v>86.005679829366315</v>
          </cell>
          <cell r="CD33">
            <v>46.28292795114227</v>
          </cell>
          <cell r="CE33">
            <v>81.723932676051064</v>
          </cell>
          <cell r="CF33">
            <v>88.36741854596066</v>
          </cell>
          <cell r="CG33">
            <v>65.626840478384622</v>
          </cell>
          <cell r="CH33">
            <v>93.148308759971925</v>
          </cell>
          <cell r="CI33">
            <v>113.95082254868785</v>
          </cell>
          <cell r="CJ33">
            <v>90.687205385406571</v>
          </cell>
          <cell r="CK33">
            <v>93.487122260274631</v>
          </cell>
          <cell r="CL33">
            <v>100.34707753453105</v>
          </cell>
          <cell r="CM33">
            <v>86.370711379542584</v>
          </cell>
        </row>
        <row r="34">
          <cell r="CA34">
            <v>33603</v>
          </cell>
          <cell r="CB34">
            <v>86.021855713211892</v>
          </cell>
          <cell r="CD34">
            <v>45.560851524950898</v>
          </cell>
          <cell r="CE34">
            <v>81.721321347857284</v>
          </cell>
          <cell r="CF34">
            <v>97.523434603029145</v>
          </cell>
          <cell r="CG34">
            <v>65.524357809025389</v>
          </cell>
          <cell r="CH34">
            <v>100.53909030021664</v>
          </cell>
          <cell r="CI34">
            <v>121.43254301591233</v>
          </cell>
          <cell r="CJ34">
            <v>96.170108788731952</v>
          </cell>
          <cell r="CK34">
            <v>96.824402684639693</v>
          </cell>
          <cell r="CL34">
            <v>100.60644678559123</v>
          </cell>
          <cell r="CM34">
            <v>88.401866183206209</v>
          </cell>
        </row>
        <row r="35">
          <cell r="CA35">
            <v>33634</v>
          </cell>
          <cell r="CB35">
            <v>87.459521973220944</v>
          </cell>
          <cell r="CD35">
            <v>49.150780544851507</v>
          </cell>
          <cell r="CE35">
            <v>86.424217524963652</v>
          </cell>
          <cell r="CF35">
            <v>95.748348191930418</v>
          </cell>
          <cell r="CG35">
            <v>65.384929791514779</v>
          </cell>
          <cell r="CH35">
            <v>92.742282672440837</v>
          </cell>
          <cell r="CI35">
            <v>113.13493377029897</v>
          </cell>
          <cell r="CJ35">
            <v>89.232351712863249</v>
          </cell>
          <cell r="CK35">
            <v>94.056630719460003</v>
          </cell>
          <cell r="CL35">
            <v>98.491238709330432</v>
          </cell>
          <cell r="CM35">
            <v>87.473337462165659</v>
          </cell>
        </row>
        <row r="36">
          <cell r="CA36">
            <v>33663</v>
          </cell>
          <cell r="CB36">
            <v>88.081522976813403</v>
          </cell>
          <cell r="CD36">
            <v>48.872486199970957</v>
          </cell>
          <cell r="CE36">
            <v>85.461044463065647</v>
          </cell>
          <cell r="CF36">
            <v>101.92741572919229</v>
          </cell>
          <cell r="CG36">
            <v>65.846051160613044</v>
          </cell>
          <cell r="CH36">
            <v>90.64446075850465</v>
          </cell>
          <cell r="CI36">
            <v>110.59209691397372</v>
          </cell>
          <cell r="CJ36">
            <v>85.470840312472717</v>
          </cell>
          <cell r="CK36">
            <v>90.109428657940853</v>
          </cell>
          <cell r="CL36">
            <v>97.451652348962497</v>
          </cell>
          <cell r="CM36">
            <v>86.96079971587649</v>
          </cell>
        </row>
        <row r="37">
          <cell r="CA37">
            <v>33694</v>
          </cell>
          <cell r="CB37">
            <v>89.932815787075739</v>
          </cell>
          <cell r="CD37">
            <v>46.776580840195258</v>
          </cell>
          <cell r="CE37">
            <v>85.703760455473727</v>
          </cell>
          <cell r="CF37">
            <v>110.65872262986281</v>
          </cell>
          <cell r="CG37">
            <v>66.615486578997889</v>
          </cell>
          <cell r="CH37">
            <v>90.693716431385013</v>
          </cell>
          <cell r="CI37">
            <v>109.60816631443141</v>
          </cell>
          <cell r="CJ37">
            <v>85.061569350719267</v>
          </cell>
          <cell r="CK37">
            <v>87.880322941795143</v>
          </cell>
          <cell r="CL37">
            <v>97.945927775323057</v>
          </cell>
          <cell r="CM37">
            <v>87.446159051141265</v>
          </cell>
        </row>
        <row r="38">
          <cell r="CA38">
            <v>33724</v>
          </cell>
          <cell r="CB38">
            <v>91.329447095821564</v>
          </cell>
          <cell r="CD38">
            <v>44.382436759434057</v>
          </cell>
          <cell r="CE38">
            <v>87.485783348731601</v>
          </cell>
          <cell r="CF38">
            <v>104.657682977614</v>
          </cell>
          <cell r="CG38">
            <v>67.926326451118655</v>
          </cell>
          <cell r="CH38">
            <v>90.231647721000869</v>
          </cell>
          <cell r="CI38">
            <v>113.38094016975377</v>
          </cell>
          <cell r="CJ38">
            <v>84.01563455099425</v>
          </cell>
          <cell r="CK38">
            <v>88.839608806065726</v>
          </cell>
          <cell r="CL38">
            <v>98.34437049331315</v>
          </cell>
          <cell r="CM38">
            <v>87.224161798104703</v>
          </cell>
        </row>
        <row r="39">
          <cell r="CA39">
            <v>33755</v>
          </cell>
          <cell r="CB39">
            <v>92.027260550308441</v>
          </cell>
          <cell r="CD39">
            <v>46.37245234800109</v>
          </cell>
          <cell r="CE39">
            <v>86.95776332699073</v>
          </cell>
          <cell r="CF39">
            <v>100.6829385593532</v>
          </cell>
          <cell r="CG39">
            <v>68.790543544214074</v>
          </cell>
          <cell r="CH39">
            <v>93.35107126601801</v>
          </cell>
          <cell r="CI39">
            <v>117.32731921087722</v>
          </cell>
          <cell r="CJ39">
            <v>87.789579838237188</v>
          </cell>
          <cell r="CK39">
            <v>92.647601917300648</v>
          </cell>
          <cell r="CL39">
            <v>98.574397489402728</v>
          </cell>
          <cell r="CM39">
            <v>88.308332701689849</v>
          </cell>
        </row>
        <row r="40">
          <cell r="CA40">
            <v>33785</v>
          </cell>
          <cell r="CB40">
            <v>92.864402102854569</v>
          </cell>
          <cell r="CD40">
            <v>45.819431065274294</v>
          </cell>
          <cell r="CE40">
            <v>86.099879942439017</v>
          </cell>
          <cell r="CF40">
            <v>98.332395794475119</v>
          </cell>
          <cell r="CG40">
            <v>69.629455406320332</v>
          </cell>
          <cell r="CH40">
            <v>98.890847189526184</v>
          </cell>
          <cell r="CI40">
            <v>122.47444845157671</v>
          </cell>
          <cell r="CJ40">
            <v>93.797143601847182</v>
          </cell>
          <cell r="CK40">
            <v>94.705974006417662</v>
          </cell>
          <cell r="CL40">
            <v>99.050476451069983</v>
          </cell>
          <cell r="CM40">
            <v>89.204462791344795</v>
          </cell>
        </row>
        <row r="41">
          <cell r="CA41">
            <v>33816</v>
          </cell>
          <cell r="CB41">
            <v>94.726998091426381</v>
          </cell>
          <cell r="CD41">
            <v>43.596558931355631</v>
          </cell>
          <cell r="CE41">
            <v>85.839520125920004</v>
          </cell>
          <cell r="CF41">
            <v>97.170009325405246</v>
          </cell>
          <cell r="CG41">
            <v>70.416788149557178</v>
          </cell>
          <cell r="CH41">
            <v>102.37825805862543</v>
          </cell>
          <cell r="CI41">
            <v>123.74026325707739</v>
          </cell>
          <cell r="CJ41">
            <v>97.975732856647525</v>
          </cell>
          <cell r="CK41">
            <v>92.984152233319648</v>
          </cell>
          <cell r="CL41">
            <v>99.532626203058996</v>
          </cell>
          <cell r="CM41">
            <v>89.299970630481369</v>
          </cell>
        </row>
        <row r="42">
          <cell r="CA42">
            <v>33847</v>
          </cell>
          <cell r="CB42">
            <v>96.484491783129911</v>
          </cell>
          <cell r="CD42">
            <v>44.785835067885586</v>
          </cell>
          <cell r="CE42">
            <v>85.020194279551816</v>
          </cell>
          <cell r="CF42">
            <v>96.442468339023605</v>
          </cell>
          <cell r="CG42">
            <v>70.397935013382039</v>
          </cell>
          <cell r="CH42">
            <v>107.97777364786137</v>
          </cell>
          <cell r="CI42">
            <v>124.2670014459448</v>
          </cell>
          <cell r="CJ42">
            <v>103.15559091137519</v>
          </cell>
          <cell r="CK42">
            <v>96.854247926899518</v>
          </cell>
          <cell r="CL42">
            <v>100.16871758068856</v>
          </cell>
          <cell r="CM42">
            <v>90.596632591234453</v>
          </cell>
        </row>
        <row r="43">
          <cell r="CA43">
            <v>33877</v>
          </cell>
          <cell r="CB43">
            <v>98.392940691007624</v>
          </cell>
          <cell r="CD43">
            <v>44.063993477087116</v>
          </cell>
          <cell r="CE43">
            <v>86.000164645429678</v>
          </cell>
          <cell r="CF43">
            <v>87.826022650252128</v>
          </cell>
          <cell r="CG43">
            <v>70.841300300657863</v>
          </cell>
          <cell r="CH43">
            <v>109.30119276567967</v>
          </cell>
          <cell r="CI43">
            <v>116.92077840491832</v>
          </cell>
          <cell r="CJ43">
            <v>106.73459455189824</v>
          </cell>
          <cell r="CK43">
            <v>101.27380688557226</v>
          </cell>
          <cell r="CL43">
            <v>101.39189328234752</v>
          </cell>
          <cell r="CM43">
            <v>90.450653500631958</v>
          </cell>
        </row>
        <row r="44">
          <cell r="CA44">
            <v>33908</v>
          </cell>
          <cell r="CB44">
            <v>99.86835818017974</v>
          </cell>
          <cell r="CD44">
            <v>48.346739098543097</v>
          </cell>
          <cell r="CE44">
            <v>88.702949772598927</v>
          </cell>
          <cell r="CF44">
            <v>85.494119521360034</v>
          </cell>
          <cell r="CG44">
            <v>70.805216702942019</v>
          </cell>
          <cell r="CH44">
            <v>100.79851265068811</v>
          </cell>
          <cell r="CI44">
            <v>103.51232750390625</v>
          </cell>
          <cell r="CJ44">
            <v>96.114331044969276</v>
          </cell>
          <cell r="CK44">
            <v>98.304825426196231</v>
          </cell>
          <cell r="CL44">
            <v>101.98541703586864</v>
          </cell>
          <cell r="CM44">
            <v>89.690780177751421</v>
          </cell>
        </row>
        <row r="45">
          <cell r="CA45">
            <v>33938</v>
          </cell>
          <cell r="CB45">
            <v>100.32810691877536</v>
          </cell>
          <cell r="CD45">
            <v>46.273796734861619</v>
          </cell>
          <cell r="CE45">
            <v>88.862724674676258</v>
          </cell>
          <cell r="CF45">
            <v>86.347466980695444</v>
          </cell>
          <cell r="CG45">
            <v>70.567438181325898</v>
          </cell>
          <cell r="CH45">
            <v>97.238335883180383</v>
          </cell>
          <cell r="CI45">
            <v>99.134338017303676</v>
          </cell>
          <cell r="CJ45">
            <v>92.057576677931792</v>
          </cell>
          <cell r="CK45">
            <v>96.937906846802619</v>
          </cell>
          <cell r="CL45">
            <v>102.12867111753496</v>
          </cell>
          <cell r="CM45">
            <v>88.752232800704732</v>
          </cell>
        </row>
        <row r="46">
          <cell r="CA46">
            <v>33969</v>
          </cell>
          <cell r="CB46">
            <v>100.24809547025741</v>
          </cell>
          <cell r="CD46">
            <v>42.788807435053336</v>
          </cell>
          <cell r="CE46">
            <v>89.311260077381178</v>
          </cell>
          <cell r="CF46">
            <v>89.154500229682824</v>
          </cell>
          <cell r="CG46">
            <v>70.837470637541912</v>
          </cell>
          <cell r="CH46">
            <v>97.189834182705511</v>
          </cell>
          <cell r="CI46">
            <v>99.891359395472477</v>
          </cell>
          <cell r="CJ46">
            <v>91.914566942360835</v>
          </cell>
          <cell r="CK46">
            <v>97.522664842580468</v>
          </cell>
          <cell r="CL46">
            <v>102.71401847710311</v>
          </cell>
          <cell r="CM46">
            <v>88.647032665691796</v>
          </cell>
        </row>
        <row r="47">
          <cell r="CA47">
            <v>34000</v>
          </cell>
          <cell r="CB47">
            <v>99.881713727541083</v>
          </cell>
          <cell r="CD47">
            <v>48.451071292048027</v>
          </cell>
          <cell r="CE47">
            <v>87.938002168446019</v>
          </cell>
          <cell r="CF47">
            <v>89.123665161492369</v>
          </cell>
          <cell r="CG47">
            <v>71.53201806209843</v>
          </cell>
          <cell r="CH47">
            <v>98.353332530913519</v>
          </cell>
          <cell r="CI47">
            <v>97.149188865510766</v>
          </cell>
          <cell r="CJ47">
            <v>90.378001502349022</v>
          </cell>
          <cell r="CK47">
            <v>96.389296866887946</v>
          </cell>
          <cell r="CL47">
            <v>101.99457226844417</v>
          </cell>
          <cell r="CM47">
            <v>89.150072442473274</v>
          </cell>
        </row>
        <row r="48">
          <cell r="CA48">
            <v>34028</v>
          </cell>
          <cell r="CB48">
            <v>100.38268600680156</v>
          </cell>
          <cell r="CD48">
            <v>48.058994711766658</v>
          </cell>
          <cell r="CE48">
            <v>85.644500056424945</v>
          </cell>
          <cell r="CF48">
            <v>86.953536053471296</v>
          </cell>
          <cell r="CG48">
            <v>72.946167010021739</v>
          </cell>
          <cell r="CH48">
            <v>95.576399586276139</v>
          </cell>
          <cell r="CI48">
            <v>92.625129191228538</v>
          </cell>
          <cell r="CJ48">
            <v>87.54446724955281</v>
          </cell>
          <cell r="CK48">
            <v>101.90479677115864</v>
          </cell>
          <cell r="CL48">
            <v>102.11957146997651</v>
          </cell>
          <cell r="CM48">
            <v>88.785927047443082</v>
          </cell>
        </row>
        <row r="49">
          <cell r="CA49">
            <v>34059</v>
          </cell>
          <cell r="CB49">
            <v>101.91801097071193</v>
          </cell>
          <cell r="CD49">
            <v>47.523327118590537</v>
          </cell>
          <cell r="CE49">
            <v>84.865745288114397</v>
          </cell>
          <cell r="CF49">
            <v>87.917652533727761</v>
          </cell>
          <cell r="CG49">
            <v>74.134299051155153</v>
          </cell>
          <cell r="CH49">
            <v>98.357039656268242</v>
          </cell>
          <cell r="CI49">
            <v>98.753519962593401</v>
          </cell>
          <cell r="CJ49">
            <v>90.377322191955713</v>
          </cell>
          <cell r="CK49">
            <v>104.17875147554874</v>
          </cell>
          <cell r="CL49">
            <v>103.26731277537003</v>
          </cell>
          <cell r="CM49">
            <v>90.119105768576105</v>
          </cell>
        </row>
        <row r="50">
          <cell r="CA50">
            <v>34089</v>
          </cell>
          <cell r="CB50">
            <v>103.59919047717123</v>
          </cell>
          <cell r="CD50">
            <v>47.773384167597236</v>
          </cell>
          <cell r="CE50">
            <v>84.078071900782987</v>
          </cell>
          <cell r="CF50">
            <v>89.026602689746596</v>
          </cell>
          <cell r="CG50">
            <v>75.253113163834271</v>
          </cell>
          <cell r="CH50">
            <v>101.4199929489172</v>
          </cell>
          <cell r="CI50">
            <v>105.00622949018874</v>
          </cell>
          <cell r="CJ50">
            <v>95.541098583960377</v>
          </cell>
          <cell r="CK50">
            <v>110.43124557637884</v>
          </cell>
          <cell r="CL50">
            <v>104.17415276478972</v>
          </cell>
          <cell r="CM50">
            <v>91.97231585446562</v>
          </cell>
        </row>
        <row r="51">
          <cell r="CA51">
            <v>34120</v>
          </cell>
          <cell r="CB51">
            <v>104.63210485774536</v>
          </cell>
          <cell r="CD51">
            <v>48.948139872149298</v>
          </cell>
          <cell r="CE51">
            <v>85.062033625893875</v>
          </cell>
          <cell r="CF51">
            <v>90.071102344125521</v>
          </cell>
          <cell r="CG51">
            <v>75.51595082290504</v>
          </cell>
          <cell r="CH51">
            <v>100.59053194051029</v>
          </cell>
          <cell r="CI51">
            <v>104.02397146844073</v>
          </cell>
          <cell r="CJ51">
            <v>95.41590126345308</v>
          </cell>
          <cell r="CK51">
            <v>113.95679068558549</v>
          </cell>
          <cell r="CL51">
            <v>104.02064737083552</v>
          </cell>
          <cell r="CM51">
            <v>92.615191156195976</v>
          </cell>
        </row>
        <row r="52">
          <cell r="CA52">
            <v>34150</v>
          </cell>
          <cell r="CB52">
            <v>105.43271991558434</v>
          </cell>
          <cell r="CD52">
            <v>51.204190701769313</v>
          </cell>
          <cell r="CE52">
            <v>86.037239416763185</v>
          </cell>
          <cell r="CF52">
            <v>89.037678828219867</v>
          </cell>
          <cell r="CG52">
            <v>75.901829338809009</v>
          </cell>
          <cell r="CH52">
            <v>95.179503041391342</v>
          </cell>
          <cell r="CI52">
            <v>100.66155105836742</v>
          </cell>
          <cell r="CJ52">
            <v>90.114871963698164</v>
          </cell>
          <cell r="CK52">
            <v>114.70978849199469</v>
          </cell>
          <cell r="CL52">
            <v>104.21235015785248</v>
          </cell>
          <cell r="CM52">
            <v>92.479329364466125</v>
          </cell>
        </row>
        <row r="53">
          <cell r="CA53">
            <v>34181</v>
          </cell>
          <cell r="CB53">
            <v>105.34204236369938</v>
          </cell>
          <cell r="CD53">
            <v>50.151637198540335</v>
          </cell>
          <cell r="CE53">
            <v>86.844818065284997</v>
          </cell>
          <cell r="CF53">
            <v>90.658930814414632</v>
          </cell>
          <cell r="CG53">
            <v>75.747523253564196</v>
          </cell>
          <cell r="CH53">
            <v>92.139910092129938</v>
          </cell>
          <cell r="CI53">
            <v>98.182540847876652</v>
          </cell>
          <cell r="CJ53">
            <v>88.86559224099345</v>
          </cell>
          <cell r="CK53">
            <v>115.48294182440462</v>
          </cell>
          <cell r="CL53">
            <v>103.78884308488152</v>
          </cell>
          <cell r="CM53">
            <v>92.070828906611098</v>
          </cell>
        </row>
        <row r="54">
          <cell r="CA54">
            <v>34212</v>
          </cell>
          <cell r="CB54">
            <v>104.02605386662003</v>
          </cell>
          <cell r="CD54">
            <v>51.562741863548581</v>
          </cell>
          <cell r="CE54">
            <v>87.789060112419264</v>
          </cell>
          <cell r="CF54">
            <v>89.583698008771151</v>
          </cell>
          <cell r="CG54">
            <v>74.960550531444554</v>
          </cell>
          <cell r="CH54">
            <v>94.867837988163217</v>
          </cell>
          <cell r="CI54">
            <v>98.445288019605897</v>
          </cell>
          <cell r="CJ54">
            <v>91.567631009688569</v>
          </cell>
          <cell r="CK54">
            <v>116.20735326425324</v>
          </cell>
          <cell r="CL54">
            <v>102.7597217003019</v>
          </cell>
          <cell r="CM54">
            <v>92.146447178618999</v>
          </cell>
        </row>
        <row r="55">
          <cell r="CA55">
            <v>34242</v>
          </cell>
          <cell r="CB55">
            <v>105.05495976331898</v>
          </cell>
          <cell r="CD55">
            <v>56.531701047513614</v>
          </cell>
          <cell r="CE55">
            <v>88.526692803351168</v>
          </cell>
          <cell r="CF55">
            <v>89.054183062822361</v>
          </cell>
          <cell r="CG55">
            <v>75.158110499529499</v>
          </cell>
          <cell r="CH55">
            <v>97.943556053282308</v>
          </cell>
          <cell r="CI55">
            <v>99.911315703077079</v>
          </cell>
          <cell r="CJ55">
            <v>94.920304989412102</v>
          </cell>
          <cell r="CK55">
            <v>115.45013153612547</v>
          </cell>
          <cell r="CL55">
            <v>103.14112972456815</v>
          </cell>
          <cell r="CM55">
            <v>93.539559596179615</v>
          </cell>
        </row>
        <row r="56">
          <cell r="CA56">
            <v>34273</v>
          </cell>
          <cell r="CB56">
            <v>106.07748262196498</v>
          </cell>
          <cell r="CD56">
            <v>55.996936292834711</v>
          </cell>
          <cell r="CE56">
            <v>91.064073266500429</v>
          </cell>
          <cell r="CF56">
            <v>89.923998557099324</v>
          </cell>
          <cell r="CG56">
            <v>75.49594804679711</v>
          </cell>
          <cell r="CH56">
            <v>95.326063623541714</v>
          </cell>
          <cell r="CI56">
            <v>98.653416856743831</v>
          </cell>
          <cell r="CJ56">
            <v>91.408043159161622</v>
          </cell>
          <cell r="CK56">
            <v>112.54667279287449</v>
          </cell>
          <cell r="CL56">
            <v>103.98782459129525</v>
          </cell>
          <cell r="CM56">
            <v>93.487357481080309</v>
          </cell>
        </row>
        <row r="57">
          <cell r="CA57">
            <v>34303</v>
          </cell>
          <cell r="CB57">
            <v>106.89975956035261</v>
          </cell>
          <cell r="CD57">
            <v>56.927739273373213</v>
          </cell>
          <cell r="CE57">
            <v>89.108811326330752</v>
          </cell>
          <cell r="CF57">
            <v>91.177434020494914</v>
          </cell>
          <cell r="CG57">
            <v>76.240027808709613</v>
          </cell>
          <cell r="CH57">
            <v>94.240779482426689</v>
          </cell>
          <cell r="CI57">
            <v>99.20784006193368</v>
          </cell>
          <cell r="CJ57">
            <v>91.09991120385331</v>
          </cell>
          <cell r="CK57">
            <v>111.95028726239953</v>
          </cell>
          <cell r="CL57">
            <v>104.80591127302755</v>
          </cell>
          <cell r="CM57">
            <v>93.906059174432343</v>
          </cell>
        </row>
        <row r="58">
          <cell r="CA58">
            <v>34334</v>
          </cell>
          <cell r="CB58">
            <v>107.5705162957936</v>
          </cell>
          <cell r="CD58">
            <v>57.387687919551688</v>
          </cell>
          <cell r="CE58">
            <v>87.801114035334493</v>
          </cell>
          <cell r="CF58">
            <v>94.937755463701549</v>
          </cell>
          <cell r="CG58">
            <v>76.814478000013736</v>
          </cell>
          <cell r="CH58">
            <v>94.159458398505379</v>
          </cell>
          <cell r="CI58">
            <v>99.698230985621763</v>
          </cell>
          <cell r="CJ58">
            <v>92.555988440732065</v>
          </cell>
          <cell r="CK58">
            <v>109.84933879987079</v>
          </cell>
          <cell r="CL58">
            <v>105.47737224912285</v>
          </cell>
          <cell r="CM58">
            <v>94.486961338342766</v>
          </cell>
        </row>
        <row r="59">
          <cell r="CA59">
            <v>34365</v>
          </cell>
          <cell r="CB59">
            <v>107.27205457728277</v>
          </cell>
          <cell r="CD59">
            <v>60.565237070347891</v>
          </cell>
          <cell r="CE59">
            <v>88.058775419350596</v>
          </cell>
          <cell r="CF59">
            <v>95.875321668546917</v>
          </cell>
          <cell r="CG59">
            <v>78.198560715130924</v>
          </cell>
          <cell r="CH59">
            <v>93.83504173020232</v>
          </cell>
          <cell r="CI59">
            <v>100.03008012055477</v>
          </cell>
          <cell r="CJ59">
            <v>93.411520866798114</v>
          </cell>
          <cell r="CK59">
            <v>111.47279314012741</v>
          </cell>
          <cell r="CL59">
            <v>105.36720152209899</v>
          </cell>
          <cell r="CM59">
            <v>95.304962809597271</v>
          </cell>
        </row>
        <row r="60">
          <cell r="CA60">
            <v>34393</v>
          </cell>
          <cell r="CB60">
            <v>107.63158680198033</v>
          </cell>
          <cell r="CD60">
            <v>59.104496984470501</v>
          </cell>
          <cell r="CE60">
            <v>89.16059535343534</v>
          </cell>
          <cell r="CF60">
            <v>97.952349852828121</v>
          </cell>
          <cell r="CG60">
            <v>81.011834162018843</v>
          </cell>
          <cell r="CH60">
            <v>95.993484371498241</v>
          </cell>
          <cell r="CI60">
            <v>100.18927008609452</v>
          </cell>
          <cell r="CJ60">
            <v>96.260853820935793</v>
          </cell>
          <cell r="CK60">
            <v>118.03353169725695</v>
          </cell>
          <cell r="CL60">
            <v>106.08565904674516</v>
          </cell>
          <cell r="CM60">
            <v>96.55987734846525</v>
          </cell>
        </row>
        <row r="61">
          <cell r="CA61">
            <v>34424</v>
          </cell>
          <cell r="CB61">
            <v>108.82207872643248</v>
          </cell>
          <cell r="CD61">
            <v>61.779068076222067</v>
          </cell>
          <cell r="CE61">
            <v>91.771573956628131</v>
          </cell>
          <cell r="CF61">
            <v>100.72638728395214</v>
          </cell>
          <cell r="CG61">
            <v>94.723681368501232</v>
          </cell>
          <cell r="CH61">
            <v>99.493536158589279</v>
          </cell>
          <cell r="CI61">
            <v>101.1137237441325</v>
          </cell>
          <cell r="CJ61">
            <v>98.534211040168088</v>
          </cell>
          <cell r="CK61">
            <v>120.8915930960294</v>
          </cell>
          <cell r="CL61">
            <v>107.47480644925244</v>
          </cell>
          <cell r="CM61">
            <v>99.401892477131156</v>
          </cell>
        </row>
        <row r="62">
          <cell r="CA62">
            <v>34454</v>
          </cell>
          <cell r="CB62">
            <v>109.02862103545368</v>
          </cell>
          <cell r="CD62">
            <v>63.327440155060103</v>
          </cell>
          <cell r="CE62">
            <v>92.066368070798433</v>
          </cell>
          <cell r="CF62">
            <v>102.23478434793599</v>
          </cell>
          <cell r="CG62">
            <v>95.007755379208206</v>
          </cell>
          <cell r="CH62">
            <v>100.16259844955874</v>
          </cell>
          <cell r="CI62">
            <v>104.14885064294607</v>
          </cell>
          <cell r="CJ62">
            <v>98.29225294113526</v>
          </cell>
          <cell r="CK62">
            <v>119.8663866412857</v>
          </cell>
          <cell r="CL62">
            <v>107.56327348831843</v>
          </cell>
          <cell r="CM62">
            <v>100.02024434944916</v>
          </cell>
        </row>
        <row r="63">
          <cell r="CA63">
            <v>34485</v>
          </cell>
          <cell r="CB63">
            <v>109.44997747137337</v>
          </cell>
          <cell r="CD63">
            <v>60.672935948305962</v>
          </cell>
          <cell r="CE63">
            <v>95.399590433030525</v>
          </cell>
          <cell r="CF63">
            <v>102.53440615102328</v>
          </cell>
          <cell r="CG63">
            <v>96.080477470009058</v>
          </cell>
          <cell r="CH63">
            <v>101.84189193475778</v>
          </cell>
          <cell r="CI63">
            <v>104.59997539847991</v>
          </cell>
          <cell r="CJ63">
            <v>98.773173848491453</v>
          </cell>
          <cell r="CK63">
            <v>119.6756861942341</v>
          </cell>
          <cell r="CL63">
            <v>107.67900054084025</v>
          </cell>
          <cell r="CM63">
            <v>100.14395662956433</v>
          </cell>
        </row>
        <row r="64">
          <cell r="CA64">
            <v>34515</v>
          </cell>
          <cell r="CB64">
            <v>110.29522463225202</v>
          </cell>
          <cell r="CD64">
            <v>63.063131478407151</v>
          </cell>
          <cell r="CE64">
            <v>96.276437039720705</v>
          </cell>
          <cell r="CF64">
            <v>104.10442284834814</v>
          </cell>
          <cell r="CG64">
            <v>99.874337158458673</v>
          </cell>
          <cell r="CH64">
            <v>105.3380944929913</v>
          </cell>
          <cell r="CI64">
            <v>107.08726836797122</v>
          </cell>
          <cell r="CJ64">
            <v>103.3896097744238</v>
          </cell>
          <cell r="CK64">
            <v>126.23962423075596</v>
          </cell>
          <cell r="CL64">
            <v>108.45868278487015</v>
          </cell>
          <cell r="CM64">
            <v>102.33168215791349</v>
          </cell>
        </row>
        <row r="65">
          <cell r="CA65">
            <v>34546</v>
          </cell>
          <cell r="CB65">
            <v>109.80485500833228</v>
          </cell>
          <cell r="CD65">
            <v>87.65379636533477</v>
          </cell>
          <cell r="CE65">
            <v>94.097828605601336</v>
          </cell>
          <cell r="CF65">
            <v>103.13659019473884</v>
          </cell>
          <cell r="CG65">
            <v>99.911207731200008</v>
          </cell>
          <cell r="CH65">
            <v>103.96844339271851</v>
          </cell>
          <cell r="CI65">
            <v>104.17613660169653</v>
          </cell>
          <cell r="CJ65">
            <v>101.20324035022075</v>
          </cell>
          <cell r="CK65">
            <v>123.07510401645121</v>
          </cell>
          <cell r="CL65">
            <v>107.27787091035638</v>
          </cell>
          <cell r="CM65">
            <v>104.34546397357805</v>
          </cell>
        </row>
        <row r="66">
          <cell r="CA66">
            <v>34577</v>
          </cell>
          <cell r="CB66">
            <v>109.39695337316945</v>
          </cell>
          <cell r="CD66">
            <v>89.415809961209703</v>
          </cell>
          <cell r="CE66">
            <v>95.817762945865155</v>
          </cell>
          <cell r="CF66">
            <v>101.79377493389161</v>
          </cell>
          <cell r="CG66">
            <v>100.22349040907463</v>
          </cell>
          <cell r="CH66">
            <v>104.28902183444859</v>
          </cell>
          <cell r="CI66">
            <v>104.60400483110048</v>
          </cell>
          <cell r="CJ66">
            <v>102.59873393847292</v>
          </cell>
          <cell r="CK66">
            <v>123.18519726910138</v>
          </cell>
          <cell r="CL66">
            <v>107.09054506219013</v>
          </cell>
          <cell r="CM66">
            <v>104.58209765997374</v>
          </cell>
        </row>
        <row r="67">
          <cell r="CA67">
            <v>34607</v>
          </cell>
          <cell r="CB67">
            <v>109.24846849691488</v>
          </cell>
          <cell r="CD67">
            <v>96.564703971075943</v>
          </cell>
          <cell r="CE67">
            <v>98.446734538185297</v>
          </cell>
          <cell r="CF67">
            <v>101.94012778134838</v>
          </cell>
          <cell r="CG67">
            <v>97.4253993562793</v>
          </cell>
          <cell r="CH67">
            <v>105.86166977958487</v>
          </cell>
          <cell r="CI67">
            <v>107.06436129518625</v>
          </cell>
          <cell r="CJ67">
            <v>105.48217311828331</v>
          </cell>
          <cell r="CK67">
            <v>123.89045406950747</v>
          </cell>
          <cell r="CL67">
            <v>106.50336668683703</v>
          </cell>
          <cell r="CM67">
            <v>105.65160204355229</v>
          </cell>
        </row>
        <row r="68">
          <cell r="CA68">
            <v>34638</v>
          </cell>
          <cell r="CB68">
            <v>108.99747354177671</v>
          </cell>
          <cell r="CD68">
            <v>99.738025777473837</v>
          </cell>
          <cell r="CE68">
            <v>98.772051400721196</v>
          </cell>
          <cell r="CF68">
            <v>102.13242979398809</v>
          </cell>
          <cell r="CG68">
            <v>98.376579422120187</v>
          </cell>
          <cell r="CH68">
            <v>107.71154433045311</v>
          </cell>
          <cell r="CI68">
            <v>109.47915575288347</v>
          </cell>
          <cell r="CJ68">
            <v>106.95800101852532</v>
          </cell>
          <cell r="CK68">
            <v>125.15010393174914</v>
          </cell>
          <cell r="CL68">
            <v>105.99015985428962</v>
          </cell>
          <cell r="CM68">
            <v>106.32729160342832</v>
          </cell>
        </row>
        <row r="69">
          <cell r="CA69">
            <v>34668</v>
          </cell>
          <cell r="CB69">
            <v>107.9012519805357</v>
          </cell>
          <cell r="CD69">
            <v>100.39495035113661</v>
          </cell>
          <cell r="CE69">
            <v>96.944050249255284</v>
          </cell>
          <cell r="CF69">
            <v>104.93155519467069</v>
          </cell>
          <cell r="CG69">
            <v>99.379645772418002</v>
          </cell>
          <cell r="CH69">
            <v>102.497599310632</v>
          </cell>
          <cell r="CI69">
            <v>104.23872853932446</v>
          </cell>
          <cell r="CJ69">
            <v>100.1865792127433</v>
          </cell>
          <cell r="CK69">
            <v>121.34740591418725</v>
          </cell>
          <cell r="CL69">
            <v>104.82760581868082</v>
          </cell>
          <cell r="CM69">
            <v>104.87303554486648</v>
          </cell>
        </row>
        <row r="70">
          <cell r="CA70">
            <v>34699</v>
          </cell>
          <cell r="CB70">
            <v>106.91780187084601</v>
          </cell>
          <cell r="CD70">
            <v>99.065629712606224</v>
          </cell>
          <cell r="CE70">
            <v>100.10116076953315</v>
          </cell>
          <cell r="CF70">
            <v>104.43604970159723</v>
          </cell>
          <cell r="CG70">
            <v>100.45145551016785</v>
          </cell>
          <cell r="CH70">
            <v>104.09088991281379</v>
          </cell>
          <cell r="CI70">
            <v>104.59660209081281</v>
          </cell>
          <cell r="CJ70">
            <v>101.35306483054084</v>
          </cell>
          <cell r="CK70">
            <v>119.84985468787758</v>
          </cell>
          <cell r="CL70">
            <v>104.68317290636344</v>
          </cell>
          <cell r="CM70">
            <v>104.87414649460246</v>
          </cell>
        </row>
        <row r="71">
          <cell r="CA71">
            <v>34730</v>
          </cell>
          <cell r="CB71">
            <v>109.35694182268401</v>
          </cell>
          <cell r="CD71">
            <v>98.244925124836939</v>
          </cell>
          <cell r="CE71">
            <v>99.477943655567728</v>
          </cell>
          <cell r="CF71">
            <v>104.8469834666716</v>
          </cell>
          <cell r="CG71">
            <v>98.993824194772401</v>
          </cell>
          <cell r="CH71">
            <v>107.06639060538603</v>
          </cell>
          <cell r="CI71">
            <v>106.66220366191592</v>
          </cell>
          <cell r="CJ71">
            <v>105.02976128446096</v>
          </cell>
          <cell r="CK71">
            <v>121.32343498598095</v>
          </cell>
          <cell r="CL71">
            <v>105.12628327561895</v>
          </cell>
          <cell r="CM71">
            <v>105.6947627622922</v>
          </cell>
        </row>
        <row r="72">
          <cell r="CA72">
            <v>34758</v>
          </cell>
          <cell r="CB72">
            <v>108.52265997732103</v>
          </cell>
          <cell r="CD72">
            <v>100.49337985540174</v>
          </cell>
          <cell r="CE72">
            <v>98.365310756834418</v>
          </cell>
          <cell r="CF72">
            <v>102.88446125729487</v>
          </cell>
          <cell r="CG72">
            <v>101.98112545538041</v>
          </cell>
          <cell r="CH72">
            <v>110.31186877096484</v>
          </cell>
          <cell r="CI72">
            <v>106.30337578589003</v>
          </cell>
          <cell r="CJ72">
            <v>108.22451025873355</v>
          </cell>
          <cell r="CK72">
            <v>121.80794410716736</v>
          </cell>
          <cell r="CL72">
            <v>104.74367398474989</v>
          </cell>
          <cell r="CM72">
            <v>105.94156263591883</v>
          </cell>
        </row>
        <row r="73">
          <cell r="CA73">
            <v>34789</v>
          </cell>
          <cell r="CB73">
            <v>107.94316494129805</v>
          </cell>
          <cell r="CD73">
            <v>96.44958282623773</v>
          </cell>
          <cell r="CE73">
            <v>100.96362152185412</v>
          </cell>
          <cell r="CF73">
            <v>103.28115219597566</v>
          </cell>
          <cell r="CG73">
            <v>101.80192080765282</v>
          </cell>
          <cell r="CH73">
            <v>116.38315950542497</v>
          </cell>
          <cell r="CI73">
            <v>108.50459932021398</v>
          </cell>
          <cell r="CJ73">
            <v>117.682091600145</v>
          </cell>
          <cell r="CK73">
            <v>132.06891947761665</v>
          </cell>
          <cell r="CL73">
            <v>105.00124489380977</v>
          </cell>
          <cell r="CM73">
            <v>107.41740748853174</v>
          </cell>
        </row>
        <row r="74">
          <cell r="CA74">
            <v>34819</v>
          </cell>
          <cell r="CB74">
            <v>106.54897184742529</v>
          </cell>
          <cell r="CD74">
            <v>96.422297947499743</v>
          </cell>
          <cell r="CE74">
            <v>101.41577904963034</v>
          </cell>
          <cell r="CF74">
            <v>102.94224608167906</v>
          </cell>
          <cell r="CG74">
            <v>102.73630853935052</v>
          </cell>
          <cell r="CH74">
            <v>114.87034765941075</v>
          </cell>
          <cell r="CI74">
            <v>107.35343349941124</v>
          </cell>
          <cell r="CJ74">
            <v>115.66115323999287</v>
          </cell>
          <cell r="CK74">
            <v>138.96138068078091</v>
          </cell>
          <cell r="CL74">
            <v>103.51376640134076</v>
          </cell>
          <cell r="CM74">
            <v>107.10943161931569</v>
          </cell>
        </row>
        <row r="75">
          <cell r="CA75">
            <v>34850</v>
          </cell>
          <cell r="CB75">
            <v>106.29764660276035</v>
          </cell>
          <cell r="CD75">
            <v>99.529108931138694</v>
          </cell>
          <cell r="CE75">
            <v>107.13849062465204</v>
          </cell>
          <cell r="CF75">
            <v>103.53335358754148</v>
          </cell>
          <cell r="CG75">
            <v>104.15305447554618</v>
          </cell>
          <cell r="CH75">
            <v>114.12115900225311</v>
          </cell>
          <cell r="CI75">
            <v>106.60899132895084</v>
          </cell>
          <cell r="CJ75">
            <v>114.61322991461446</v>
          </cell>
          <cell r="CK75">
            <v>140.08718727288365</v>
          </cell>
          <cell r="CL75">
            <v>103.4519847103968</v>
          </cell>
          <cell r="CM75">
            <v>107.88614447453418</v>
          </cell>
        </row>
        <row r="76">
          <cell r="CA76">
            <v>34880</v>
          </cell>
          <cell r="CB76">
            <v>106.01545572881533</v>
          </cell>
          <cell r="CD76">
            <v>102.47149771771444</v>
          </cell>
          <cell r="CE76">
            <v>108.75632499959178</v>
          </cell>
          <cell r="CF76">
            <v>104.77337327143539</v>
          </cell>
          <cell r="CG76">
            <v>104.76740942360246</v>
          </cell>
          <cell r="CH76">
            <v>114.70713964235387</v>
          </cell>
          <cell r="CI76">
            <v>106.35431342714017</v>
          </cell>
          <cell r="CJ76">
            <v>114.19368337725675</v>
          </cell>
          <cell r="CK76">
            <v>137.84609116506644</v>
          </cell>
          <cell r="CL76">
            <v>103.5941526823887</v>
          </cell>
          <cell r="CM76">
            <v>108.30655540442814</v>
          </cell>
        </row>
        <row r="77">
          <cell r="CA77">
            <v>34911</v>
          </cell>
          <cell r="CB77">
            <v>106.47688647640415</v>
          </cell>
          <cell r="CD77">
            <v>103.26403280261871</v>
          </cell>
          <cell r="CE77">
            <v>107.2057776160071</v>
          </cell>
          <cell r="CF77">
            <v>105.87144151173472</v>
          </cell>
          <cell r="CG77">
            <v>103.68507719698796</v>
          </cell>
          <cell r="CH77">
            <v>115.31266494393289</v>
          </cell>
          <cell r="CI77">
            <v>106.45310689929777</v>
          </cell>
          <cell r="CJ77">
            <v>114.71561982876466</v>
          </cell>
          <cell r="CK77">
            <v>130.61588352565769</v>
          </cell>
          <cell r="CL77">
            <v>103.62460925390498</v>
          </cell>
          <cell r="CM77">
            <v>107.9118167807877</v>
          </cell>
        </row>
        <row r="78">
          <cell r="CA78">
            <v>34942</v>
          </cell>
          <cell r="CB78">
            <v>106.10465147669184</v>
          </cell>
          <cell r="CD78">
            <v>101.20841817339902</v>
          </cell>
          <cell r="CE78">
            <v>105.89374643252822</v>
          </cell>
          <cell r="CF78">
            <v>105.90628708139198</v>
          </cell>
          <cell r="CG78">
            <v>97.441771563985043</v>
          </cell>
          <cell r="CH78">
            <v>108.24194048527693</v>
          </cell>
          <cell r="CI78">
            <v>103.57344265344352</v>
          </cell>
          <cell r="CJ78">
            <v>109.46614418879319</v>
          </cell>
          <cell r="CK78">
            <v>116.65167421022844</v>
          </cell>
          <cell r="CL78">
            <v>103.78463353657294</v>
          </cell>
          <cell r="CM78">
            <v>105.35022694154451</v>
          </cell>
        </row>
        <row r="79">
          <cell r="CA79">
            <v>34972</v>
          </cell>
          <cell r="CB79">
            <v>106.16579743423524</v>
          </cell>
          <cell r="CD79">
            <v>101.75917325307449</v>
          </cell>
          <cell r="CE79">
            <v>104.57658210147409</v>
          </cell>
          <cell r="CF79">
            <v>106.20596348427615</v>
          </cell>
          <cell r="CG79">
            <v>96.885959388090498</v>
          </cell>
          <cell r="CH79">
            <v>111.66272898723093</v>
          </cell>
          <cell r="CI79">
            <v>105.78742317554826</v>
          </cell>
          <cell r="CJ79">
            <v>115.05689529495331</v>
          </cell>
          <cell r="CK79">
            <v>118.24420356295163</v>
          </cell>
          <cell r="CL79">
            <v>103.87742528571795</v>
          </cell>
          <cell r="CM79">
            <v>106.05000682958691</v>
          </cell>
        </row>
        <row r="80">
          <cell r="CA80">
            <v>35003</v>
          </cell>
          <cell r="CB80">
            <v>104.5572636609871</v>
          </cell>
          <cell r="CD80">
            <v>100.4196137698041</v>
          </cell>
          <cell r="CE80">
            <v>101.98796716892676</v>
          </cell>
          <cell r="CF80">
            <v>103.85296476393549</v>
          </cell>
          <cell r="CG80">
            <v>93.845810938068055</v>
          </cell>
          <cell r="CH80">
            <v>109.91943002498958</v>
          </cell>
          <cell r="CI80">
            <v>102.92698841617383</v>
          </cell>
          <cell r="CJ80">
            <v>113.05967253333968</v>
          </cell>
          <cell r="CK80">
            <v>111.86606885445805</v>
          </cell>
          <cell r="CL80">
            <v>102.28959800141899</v>
          </cell>
          <cell r="CM80">
            <v>103.72808680840893</v>
          </cell>
        </row>
        <row r="81">
          <cell r="CA81">
            <v>35033</v>
          </cell>
          <cell r="CB81">
            <v>103.32704624110217</v>
          </cell>
          <cell r="CD81">
            <v>100.45178826109877</v>
          </cell>
          <cell r="CE81">
            <v>99.452840544636118</v>
          </cell>
          <cell r="CF81">
            <v>101.45814600847191</v>
          </cell>
          <cell r="CG81">
            <v>93.348181148493708</v>
          </cell>
          <cell r="CH81">
            <v>107.1090401560884</v>
          </cell>
          <cell r="CI81">
            <v>99.352411011977026</v>
          </cell>
          <cell r="CJ81">
            <v>109.63165968076719</v>
          </cell>
          <cell r="CK81">
            <v>110.54656579460587</v>
          </cell>
          <cell r="CL81">
            <v>101.25147057294564</v>
          </cell>
          <cell r="CM81">
            <v>102.17433367067514</v>
          </cell>
        </row>
        <row r="82">
          <cell r="CA82">
            <v>35064</v>
          </cell>
          <cell r="CB82">
            <v>102.43377397047715</v>
          </cell>
          <cell r="CD82">
            <v>100.49871900437178</v>
          </cell>
          <cell r="CE82">
            <v>100.08372909822087</v>
          </cell>
          <cell r="CF82">
            <v>101.47278912274645</v>
          </cell>
          <cell r="CG82">
            <v>94.295297182436812</v>
          </cell>
          <cell r="CH82">
            <v>107.23128156019712</v>
          </cell>
          <cell r="CI82">
            <v>99.984936634661963</v>
          </cell>
          <cell r="CJ82">
            <v>110.01789454250508</v>
          </cell>
          <cell r="CK82">
            <v>108.22492648116938</v>
          </cell>
          <cell r="CL82">
            <v>100.20938566829058</v>
          </cell>
          <cell r="CM82">
            <v>101.73028728944577</v>
          </cell>
        </row>
        <row r="83">
          <cell r="CA83">
            <v>35065</v>
          </cell>
          <cell r="CB83">
            <v>101.99045416429561</v>
          </cell>
          <cell r="CD83">
            <v>100.34103891192726</v>
          </cell>
          <cell r="CE83">
            <v>98.453112011328898</v>
          </cell>
          <cell r="CF83">
            <v>100.29451837340619</v>
          </cell>
          <cell r="CG83">
            <v>92.180664021081554</v>
          </cell>
          <cell r="CH83">
            <v>101.77128422577385</v>
          </cell>
          <cell r="CI83">
            <v>96.161620378161174</v>
          </cell>
          <cell r="CJ83">
            <v>103.3110490220315</v>
          </cell>
          <cell r="CK83">
            <v>102.90794695405869</v>
          </cell>
          <cell r="CL83">
            <v>100.06051572132955</v>
          </cell>
          <cell r="CM83">
            <v>99.946952583779748</v>
          </cell>
        </row>
        <row r="84">
          <cell r="CA84">
            <v>35096</v>
          </cell>
          <cell r="CB84">
            <v>99.151673141731806</v>
          </cell>
          <cell r="CD84">
            <v>98.005094045126413</v>
          </cell>
          <cell r="CE84">
            <v>96.534586400520823</v>
          </cell>
          <cell r="CF84">
            <v>99.419048244684831</v>
          </cell>
          <cell r="CG84">
            <v>92.44176840505682</v>
          </cell>
          <cell r="CH84">
            <v>101.47010301165558</v>
          </cell>
          <cell r="CI84">
            <v>95.847721132455092</v>
          </cell>
          <cell r="CJ84">
            <v>102.52263366994742</v>
          </cell>
          <cell r="CK84">
            <v>102.59514172086423</v>
          </cell>
          <cell r="CL84">
            <v>97.884117825557297</v>
          </cell>
          <cell r="CM84">
            <v>98.432498840635958</v>
          </cell>
        </row>
        <row r="85">
          <cell r="CA85">
            <v>35125</v>
          </cell>
          <cell r="CB85">
            <v>99.268930081306124</v>
          </cell>
          <cell r="CD85">
            <v>98.449362400040101</v>
          </cell>
          <cell r="CE85">
            <v>98.025844218992745</v>
          </cell>
          <cell r="CF85">
            <v>101.54661716610896</v>
          </cell>
          <cell r="CG85">
            <v>94.414835807750023</v>
          </cell>
          <cell r="CH85">
            <v>101.47794056147256</v>
          </cell>
          <cell r="CI85">
            <v>96.346732451372034</v>
          </cell>
          <cell r="CJ85">
            <v>104.24053337882786</v>
          </cell>
          <cell r="CK85">
            <v>101.88862325520773</v>
          </cell>
          <cell r="CL85">
            <v>99.001009882812369</v>
          </cell>
          <cell r="CM85">
            <v>99.313438602399131</v>
          </cell>
        </row>
        <row r="86">
          <cell r="CA86">
            <v>35156</v>
          </cell>
          <cell r="CB86">
            <v>100.28053474844039</v>
          </cell>
          <cell r="CD86">
            <v>99.982656333682129</v>
          </cell>
          <cell r="CE86">
            <v>101.20249385840143</v>
          </cell>
          <cell r="CF86">
            <v>102.51539618247658</v>
          </cell>
          <cell r="CG86">
            <v>96.077780790636297</v>
          </cell>
          <cell r="CH86">
            <v>99.086557584185371</v>
          </cell>
          <cell r="CI86">
            <v>96.923388029279934</v>
          </cell>
          <cell r="CJ86">
            <v>101.15993694488003</v>
          </cell>
          <cell r="CK86">
            <v>105.06598975309353</v>
          </cell>
          <cell r="CL86">
            <v>100.39528475956129</v>
          </cell>
          <cell r="CM86">
            <v>100.47768583778593</v>
          </cell>
        </row>
        <row r="87">
          <cell r="CA87">
            <v>35186</v>
          </cell>
          <cell r="CB87">
            <v>100.07836413156188</v>
          </cell>
          <cell r="CD87">
            <v>100.37988663122941</v>
          </cell>
          <cell r="CE87">
            <v>101.58938692953483</v>
          </cell>
          <cell r="CF87">
            <v>101.27491332770279</v>
          </cell>
          <cell r="CG87">
            <v>96.097822696313955</v>
          </cell>
          <cell r="CH87">
            <v>99.499754128780665</v>
          </cell>
          <cell r="CI87">
            <v>98.335384527104154</v>
          </cell>
          <cell r="CJ87">
            <v>98.955952085144901</v>
          </cell>
          <cell r="CK87">
            <v>105.26046883151552</v>
          </cell>
          <cell r="CL87">
            <v>100.3952256859242</v>
          </cell>
          <cell r="CM87">
            <v>100.43154984621164</v>
          </cell>
        </row>
        <row r="88">
          <cell r="CA88">
            <v>35217</v>
          </cell>
          <cell r="CB88">
            <v>99.747097736696546</v>
          </cell>
          <cell r="CD88">
            <v>100.94341615034186</v>
          </cell>
          <cell r="CE88">
            <v>101.53859221512758</v>
          </cell>
          <cell r="CF88">
            <v>100.33478774438807</v>
          </cell>
          <cell r="CG88">
            <v>97.235790235827523</v>
          </cell>
          <cell r="CH88">
            <v>99.270349993525414</v>
          </cell>
          <cell r="CI88">
            <v>99.022531566332177</v>
          </cell>
          <cell r="CJ88">
            <v>99.622129133485899</v>
          </cell>
          <cell r="CK88">
            <v>99.34151099069453</v>
          </cell>
          <cell r="CL88">
            <v>100.16297336757773</v>
          </cell>
          <cell r="CM88">
            <v>99.883099587696961</v>
          </cell>
        </row>
        <row r="89">
          <cell r="CA89">
            <v>35247</v>
          </cell>
          <cell r="CB89">
            <v>99.906230094799952</v>
          </cell>
          <cell r="CD89">
            <v>101.0126572463133</v>
          </cell>
          <cell r="CE89">
            <v>100.61088527914745</v>
          </cell>
          <cell r="CF89">
            <v>100.21620338210855</v>
          </cell>
          <cell r="CG89">
            <v>99.521731171135499</v>
          </cell>
          <cell r="CH89">
            <v>102.9423113435833</v>
          </cell>
          <cell r="CI89">
            <v>99.165684700495717</v>
          </cell>
          <cell r="CJ89">
            <v>104.18395792598415</v>
          </cell>
          <cell r="CK89">
            <v>101.76237263383736</v>
          </cell>
          <cell r="CL89">
            <v>100.02641461222468</v>
          </cell>
          <cell r="CM89">
            <v>100.55642372407566</v>
          </cell>
        </row>
        <row r="90">
          <cell r="CA90">
            <v>35278</v>
          </cell>
          <cell r="CB90">
            <v>99.164877590361897</v>
          </cell>
          <cell r="CD90">
            <v>100.50717369662239</v>
          </cell>
          <cell r="CE90">
            <v>100.75559914961364</v>
          </cell>
          <cell r="CF90">
            <v>100.69193371568635</v>
          </cell>
          <cell r="CG90">
            <v>101.3562334090504</v>
          </cell>
          <cell r="CH90">
            <v>101.16419327456853</v>
          </cell>
          <cell r="CI90">
            <v>98.759980477377368</v>
          </cell>
          <cell r="CJ90">
            <v>102.86289923375132</v>
          </cell>
          <cell r="CK90">
            <v>99.329173904112153</v>
          </cell>
          <cell r="CL90">
            <v>99.54748835099295</v>
          </cell>
          <cell r="CM90">
            <v>100.03728246908852</v>
          </cell>
        </row>
        <row r="91">
          <cell r="CA91">
            <v>35309</v>
          </cell>
          <cell r="CB91">
            <v>99.590489827754183</v>
          </cell>
          <cell r="CD91">
            <v>100.06642642071438</v>
          </cell>
          <cell r="CE91">
            <v>100.8761980421861</v>
          </cell>
          <cell r="CF91">
            <v>99.391194188304794</v>
          </cell>
          <cell r="CG91">
            <v>104.52856772784649</v>
          </cell>
          <cell r="CH91">
            <v>98.316062546599241</v>
          </cell>
          <cell r="CI91">
            <v>99.789600711387308</v>
          </cell>
          <cell r="CJ91">
            <v>98.289036395275957</v>
          </cell>
          <cell r="CK91">
            <v>97.410088200252318</v>
          </cell>
          <cell r="CL91">
            <v>100.0681144485184</v>
          </cell>
          <cell r="CM91">
            <v>99.790757859829426</v>
          </cell>
        </row>
        <row r="92">
          <cell r="CA92">
            <v>35339</v>
          </cell>
          <cell r="CB92">
            <v>100.93497615769866</v>
          </cell>
          <cell r="CD92">
            <v>100.71425039579407</v>
          </cell>
          <cell r="CE92">
            <v>100.54127757471146</v>
          </cell>
          <cell r="CF92">
            <v>98.761826440816193</v>
          </cell>
          <cell r="CG92">
            <v>108.66735760307125</v>
          </cell>
          <cell r="CH92">
            <v>100.25295206361776</v>
          </cell>
          <cell r="CI92">
            <v>104.79262041140865</v>
          </cell>
          <cell r="CJ92">
            <v>99.323603450911662</v>
          </cell>
          <cell r="CK92">
            <v>96.631291430849458</v>
          </cell>
          <cell r="CL92">
            <v>101.24382530205847</v>
          </cell>
          <cell r="CM92">
            <v>100.91728240741293</v>
          </cell>
        </row>
        <row r="93">
          <cell r="CA93">
            <v>35370</v>
          </cell>
          <cell r="CB93">
            <v>99.836505005985856</v>
          </cell>
          <cell r="CD93">
            <v>99.594680179053341</v>
          </cell>
          <cell r="CE93">
            <v>100.14022757373324</v>
          </cell>
          <cell r="CF93">
            <v>97.733886282824827</v>
          </cell>
          <cell r="CG93">
            <v>108.94956013654225</v>
          </cell>
          <cell r="CH93">
            <v>97.851444571928596</v>
          </cell>
          <cell r="CI93">
            <v>107.60038050977401</v>
          </cell>
          <cell r="CJ93">
            <v>95.215393788060425</v>
          </cell>
          <cell r="CK93">
            <v>95.489432547596536</v>
          </cell>
          <cell r="CL93">
            <v>100.56946832910123</v>
          </cell>
          <cell r="CM93">
            <v>100.11054770060876</v>
          </cell>
        </row>
        <row r="94">
          <cell r="CA94">
            <v>35400</v>
          </cell>
          <cell r="CB94">
            <v>100.15193781713126</v>
          </cell>
          <cell r="CD94">
            <v>99.938152390211926</v>
          </cell>
          <cell r="CE94">
            <v>99.817309656867209</v>
          </cell>
          <cell r="CF94">
            <v>98.255298979387987</v>
          </cell>
          <cell r="CG94">
            <v>109.63968425807764</v>
          </cell>
          <cell r="CH94">
            <v>97.327011572240735</v>
          </cell>
          <cell r="CI94">
            <v>109.28063191781065</v>
          </cell>
          <cell r="CJ94">
            <v>91.981366265140863</v>
          </cell>
          <cell r="CK94">
            <v>93.864423242523245</v>
          </cell>
          <cell r="CL94">
            <v>100.72081047462274</v>
          </cell>
          <cell r="CM94">
            <v>100.04854444600643</v>
          </cell>
        </row>
        <row r="96">
          <cell r="CA96">
            <v>35431</v>
          </cell>
          <cell r="CB96">
            <v>101.04992825868204</v>
          </cell>
          <cell r="CD96">
            <v>100.46831189536687</v>
          </cell>
          <cell r="CE96">
            <v>101.88951888057862</v>
          </cell>
          <cell r="CF96">
            <v>97.84053726285093</v>
          </cell>
          <cell r="CG96">
            <v>105.03815429388787</v>
          </cell>
          <cell r="CH96">
            <v>93.258556391289559</v>
          </cell>
          <cell r="CI96">
            <v>103.59541861397487</v>
          </cell>
          <cell r="CJ96">
            <v>88.061510188022851</v>
          </cell>
          <cell r="CK96">
            <v>90.257956930755199</v>
          </cell>
          <cell r="CL96">
            <v>101.41580078903331</v>
          </cell>
          <cell r="CM96">
            <v>99.111030985237491</v>
          </cell>
        </row>
        <row r="97">
          <cell r="CA97">
            <v>35462</v>
          </cell>
          <cell r="CB97">
            <v>101.45571867323324</v>
          </cell>
          <cell r="CD97">
            <v>100.43227545890463</v>
          </cell>
          <cell r="CE97">
            <v>104.39975278000122</v>
          </cell>
          <cell r="CF97">
            <v>97.893062505883648</v>
          </cell>
          <cell r="CG97">
            <v>107.36018981718001</v>
          </cell>
          <cell r="CH97">
            <v>90.301559988547183</v>
          </cell>
          <cell r="CI97">
            <v>105.55973064396751</v>
          </cell>
          <cell r="CJ97">
            <v>84.665323619257322</v>
          </cell>
          <cell r="CK97">
            <v>90.336615050746829</v>
          </cell>
          <cell r="CL97">
            <v>101.74581726183114</v>
          </cell>
          <cell r="CM97">
            <v>99.33770051420133</v>
          </cell>
        </row>
        <row r="98">
          <cell r="CA98">
            <v>35490</v>
          </cell>
          <cell r="CB98">
            <v>101.38478160558637</v>
          </cell>
          <cell r="CD98">
            <v>100.83272883553281</v>
          </cell>
          <cell r="CE98">
            <v>104.67063872668288</v>
          </cell>
          <cell r="CF98">
            <v>99.52714197821912</v>
          </cell>
          <cell r="CG98">
            <v>111.63159358765407</v>
          </cell>
          <cell r="CH98">
            <v>91.323373135167586</v>
          </cell>
          <cell r="CI98">
            <v>106.82346769740745</v>
          </cell>
          <cell r="CJ98">
            <v>86.613669425102245</v>
          </cell>
          <cell r="CK98">
            <v>88.583560616385284</v>
          </cell>
          <cell r="CL98">
            <v>102.5139086390062</v>
          </cell>
          <cell r="CM98">
            <v>100.06835248922211</v>
          </cell>
        </row>
        <row r="99">
          <cell r="CA99">
            <v>35521</v>
          </cell>
          <cell r="CB99">
            <v>100.33587797150503</v>
          </cell>
          <cell r="CD99">
            <v>100.29239676430596</v>
          </cell>
          <cell r="CE99">
            <v>103.07921846989223</v>
          </cell>
          <cell r="CF99">
            <v>99.179134542652022</v>
          </cell>
          <cell r="CG99">
            <v>112.26677438556405</v>
          </cell>
          <cell r="CH99">
            <v>88.067698268660763</v>
          </cell>
          <cell r="CI99">
            <v>106.04443537687177</v>
          </cell>
          <cell r="CJ99">
            <v>84.891952240661112</v>
          </cell>
          <cell r="CK99">
            <v>87.678381464291022</v>
          </cell>
          <cell r="CL99">
            <v>101.85263319757387</v>
          </cell>
          <cell r="CM99">
            <v>99.173867603325235</v>
          </cell>
        </row>
        <row r="100">
          <cell r="CA100">
            <v>35551</v>
          </cell>
          <cell r="CB100">
            <v>99.519005255692534</v>
          </cell>
          <cell r="CD100">
            <v>98.636159358830099</v>
          </cell>
          <cell r="CE100">
            <v>102.58377149899096</v>
          </cell>
          <cell r="CF100">
            <v>98.362548851554848</v>
          </cell>
          <cell r="CG100">
            <v>111.80311079159311</v>
          </cell>
          <cell r="CH100">
            <v>89.105937676771831</v>
          </cell>
          <cell r="CI100">
            <v>106.32918229276534</v>
          </cell>
          <cell r="CJ100">
            <v>87.603230309077418</v>
          </cell>
          <cell r="CK100">
            <v>94.86020314540022</v>
          </cell>
          <cell r="CL100">
            <v>101.02208572342902</v>
          </cell>
          <cell r="CM100">
            <v>99.485452237986735</v>
          </cell>
        </row>
        <row r="101">
          <cell r="CA101">
            <v>35582</v>
          </cell>
          <cell r="CB101">
            <v>98.978312602437398</v>
          </cell>
          <cell r="CD101">
            <v>98.217855775584084</v>
          </cell>
          <cell r="CE101">
            <v>102.72557498603148</v>
          </cell>
          <cell r="CF101">
            <v>99.292978718069719</v>
          </cell>
          <cell r="CG101">
            <v>111.07942890822153</v>
          </cell>
          <cell r="CH101">
            <v>86.464476461048605</v>
          </cell>
          <cell r="CI101">
            <v>107.60692239406129</v>
          </cell>
          <cell r="CJ101">
            <v>84.061022061781784</v>
          </cell>
          <cell r="CK101">
            <v>95.607118276376369</v>
          </cell>
          <cell r="CL101">
            <v>100.47116634735436</v>
          </cell>
          <cell r="CM101">
            <v>99.090768573805548</v>
          </cell>
        </row>
        <row r="102">
          <cell r="CA102">
            <v>35612</v>
          </cell>
          <cell r="CB102">
            <v>98.355369460436961</v>
          </cell>
          <cell r="CD102">
            <v>96.826399812700785</v>
          </cell>
          <cell r="CE102">
            <v>102.23877297565383</v>
          </cell>
          <cell r="CF102">
            <v>99.004898517812265</v>
          </cell>
          <cell r="CG102">
            <v>108.95978009860241</v>
          </cell>
          <cell r="CH102">
            <v>82.063195928719267</v>
          </cell>
          <cell r="CI102">
            <v>104.95194697873293</v>
          </cell>
          <cell r="CJ102">
            <v>80.482643211130807</v>
          </cell>
          <cell r="CK102">
            <v>91.435581313303089</v>
          </cell>
          <cell r="CL102">
            <v>99.694593199173369</v>
          </cell>
          <cell r="CM102">
            <v>97.446392461020736</v>
          </cell>
        </row>
        <row r="103">
          <cell r="CA103">
            <v>35643</v>
          </cell>
          <cell r="CB103">
            <v>98.278167035325268</v>
          </cell>
          <cell r="CD103">
            <v>95.368471990236486</v>
          </cell>
          <cell r="CE103">
            <v>102.95323683147831</v>
          </cell>
          <cell r="CF103">
            <v>99.115949154062449</v>
          </cell>
          <cell r="CG103">
            <v>104.03359214941854</v>
          </cell>
          <cell r="CH103">
            <v>83.496637709187965</v>
          </cell>
          <cell r="CI103">
            <v>104.288154950399</v>
          </cell>
          <cell r="CJ103">
            <v>82.053390667687282</v>
          </cell>
          <cell r="CK103">
            <v>90.279039852268269</v>
          </cell>
          <cell r="CL103">
            <v>99.606397822019062</v>
          </cell>
          <cell r="CM103">
            <v>97.083856534785866</v>
          </cell>
        </row>
        <row r="104">
          <cell r="CA104">
            <v>35674</v>
          </cell>
          <cell r="CB104">
            <v>99.649618638452552</v>
          </cell>
          <cell r="CD104">
            <v>96.713785702149579</v>
          </cell>
          <cell r="CE104">
            <v>105.34640975147389</v>
          </cell>
          <cell r="CF104">
            <v>101.49253059411309</v>
          </cell>
          <cell r="CG104">
            <v>100.52098505585047</v>
          </cell>
          <cell r="CH104">
            <v>85.919660302527376</v>
          </cell>
          <cell r="CI104">
            <v>105.81544312766881</v>
          </cell>
          <cell r="CJ104">
            <v>84.960369722913327</v>
          </cell>
          <cell r="CK104">
            <v>90.893764531002802</v>
          </cell>
          <cell r="CL104">
            <v>101.29602245842288</v>
          </cell>
          <cell r="CM104">
            <v>98.524008455493089</v>
          </cell>
        </row>
        <row r="105">
          <cell r="CA105">
            <v>35704</v>
          </cell>
          <cell r="CB105">
            <v>99.677872364237103</v>
          </cell>
          <cell r="CD105">
            <v>96.532994315946468</v>
          </cell>
          <cell r="CE105">
            <v>105.41054636887553</v>
          </cell>
          <cell r="CF105">
            <v>99.194148629613593</v>
          </cell>
          <cell r="CG105">
            <v>98.907895783031165</v>
          </cell>
          <cell r="CH105">
            <v>88.076215922908943</v>
          </cell>
          <cell r="CI105">
            <v>110.0331348901684</v>
          </cell>
          <cell r="CJ105">
            <v>88.157752213225265</v>
          </cell>
          <cell r="CK105">
            <v>92.011476181376011</v>
          </cell>
          <cell r="CL105">
            <v>101.73557968729735</v>
          </cell>
          <cell r="CM105">
            <v>99.00428976915147</v>
          </cell>
        </row>
        <row r="106">
          <cell r="CA106">
            <v>35735</v>
          </cell>
          <cell r="CB106">
            <v>99.738875215549029</v>
          </cell>
          <cell r="CD106">
            <v>97.223991547204662</v>
          </cell>
          <cell r="CE106">
            <v>102.33938197229027</v>
          </cell>
          <cell r="CF106">
            <v>98.934414951852304</v>
          </cell>
          <cell r="CG106">
            <v>98.093565802461981</v>
          </cell>
          <cell r="CH106">
            <v>86.357870565266481</v>
          </cell>
          <cell r="CI106">
            <v>110.62336247735813</v>
          </cell>
          <cell r="CJ106">
            <v>86.528313398861627</v>
          </cell>
          <cell r="CK106">
            <v>86.477854885503007</v>
          </cell>
          <cell r="CL106">
            <v>101.93179792027603</v>
          </cell>
          <cell r="CM106">
            <v>98.150719821295866</v>
          </cell>
        </row>
        <row r="107">
          <cell r="CA107">
            <v>35765</v>
          </cell>
          <cell r="CB107">
            <v>97.495451787777441</v>
          </cell>
          <cell r="CD107">
            <v>94.793491605692395</v>
          </cell>
          <cell r="CE107">
            <v>98.822813907662592</v>
          </cell>
          <cell r="CF107">
            <v>96.950481809840568</v>
          </cell>
          <cell r="CG107">
            <v>97.210374187647943</v>
          </cell>
          <cell r="CH107">
            <v>83.061714004993817</v>
          </cell>
          <cell r="CI107">
            <v>106.77185011298384</v>
          </cell>
          <cell r="CJ107">
            <v>82.70312457658892</v>
          </cell>
          <cell r="CK107">
            <v>82.50787812787766</v>
          </cell>
          <cell r="CL107">
            <v>99.346413307566877</v>
          </cell>
          <cell r="CM107">
            <v>95.374214875950017</v>
          </cell>
        </row>
        <row r="109">
          <cell r="CA109">
            <v>35796</v>
          </cell>
          <cell r="CB109">
            <v>97.113408587881423</v>
          </cell>
          <cell r="CD109">
            <v>93.928757547942098</v>
          </cell>
          <cell r="CE109">
            <v>95.614551500536535</v>
          </cell>
          <cell r="CF109">
            <v>95.347384839794714</v>
          </cell>
          <cell r="CG109">
            <v>94.416073728216247</v>
          </cell>
          <cell r="CH109">
            <v>80.759345377486923</v>
          </cell>
          <cell r="CI109">
            <v>104.34062877634777</v>
          </cell>
          <cell r="CJ109">
            <v>81.307567429507785</v>
          </cell>
          <cell r="CK109">
            <v>83.268823494465494</v>
          </cell>
          <cell r="CL109">
            <v>98.521887381866406</v>
          </cell>
          <cell r="CM109">
            <v>94.195613229770927</v>
          </cell>
        </row>
        <row r="110">
          <cell r="CA110">
            <v>35827</v>
          </cell>
          <cell r="CB110">
            <v>97.007791969266748</v>
          </cell>
          <cell r="CD110">
            <v>93.46475058795032</v>
          </cell>
          <cell r="CE110">
            <v>95.365870626666478</v>
          </cell>
          <cell r="CF110">
            <v>94.757722297196651</v>
          </cell>
          <cell r="CG110">
            <v>96.939029957633409</v>
          </cell>
          <cell r="CH110">
            <v>81.181033726623781</v>
          </cell>
          <cell r="CI110">
            <v>104.88416920188142</v>
          </cell>
          <cell r="CJ110">
            <v>81.019174911648363</v>
          </cell>
          <cell r="CK110">
            <v>83.595272848927706</v>
          </cell>
          <cell r="CL110">
            <v>98.254839854305601</v>
          </cell>
          <cell r="CM110">
            <v>94.206356863687077</v>
          </cell>
        </row>
        <row r="111">
          <cell r="CA111">
            <v>35855</v>
          </cell>
          <cell r="CB111">
            <v>97.396429298132986</v>
          </cell>
          <cell r="CD111">
            <v>93.844574311813062</v>
          </cell>
          <cell r="CE111">
            <v>95.675374434640432</v>
          </cell>
          <cell r="CF111">
            <v>96.44551276629268</v>
          </cell>
          <cell r="CG111">
            <v>98.9409909978813</v>
          </cell>
          <cell r="CH111">
            <v>80.116803456788688</v>
          </cell>
          <cell r="CI111">
            <v>108.16904571184833</v>
          </cell>
          <cell r="CJ111">
            <v>78.686960233229314</v>
          </cell>
          <cell r="CK111">
            <v>80.101025244915718</v>
          </cell>
          <cell r="CL111">
            <v>98.955573389247462</v>
          </cell>
          <cell r="CM111">
            <v>94.422657223803085</v>
          </cell>
        </row>
        <row r="112">
          <cell r="CA112">
            <v>35886</v>
          </cell>
          <cell r="CB112">
            <v>97.669142484579012</v>
          </cell>
          <cell r="CD112">
            <v>93.90892189598938</v>
          </cell>
          <cell r="CE112">
            <v>96.693569962391194</v>
          </cell>
          <cell r="CF112">
            <v>96.845828174971032</v>
          </cell>
          <cell r="CG112">
            <v>101.51335666347028</v>
          </cell>
          <cell r="CH112">
            <v>82.722242637644243</v>
          </cell>
          <cell r="CI112">
            <v>108.77662568229883</v>
          </cell>
          <cell r="CJ112">
            <v>80.031611576375809</v>
          </cell>
          <cell r="CK112">
            <v>80.990928427944482</v>
          </cell>
          <cell r="CL112">
            <v>99.404984932091168</v>
          </cell>
          <cell r="CM112">
            <v>95.200128965304899</v>
          </cell>
        </row>
        <row r="113">
          <cell r="CA113">
            <v>35916</v>
          </cell>
          <cell r="CB113">
            <v>97.651447192059067</v>
          </cell>
          <cell r="CD113">
            <v>94.159011449909002</v>
          </cell>
          <cell r="CE113">
            <v>96.52036944620464</v>
          </cell>
          <cell r="CF113">
            <v>96.069556253752125</v>
          </cell>
          <cell r="CG113">
            <v>100.84061949619625</v>
          </cell>
          <cell r="CH113">
            <v>83.354989869139018</v>
          </cell>
          <cell r="CI113">
            <v>106.49791394872369</v>
          </cell>
          <cell r="CJ113">
            <v>80.991457664567363</v>
          </cell>
          <cell r="CK113">
            <v>77.359801435839017</v>
          </cell>
          <cell r="CL113">
            <v>99.64240481173745</v>
          </cell>
          <cell r="CM113">
            <v>94.716068627202958</v>
          </cell>
        </row>
        <row r="114">
          <cell r="CA114">
            <v>35947</v>
          </cell>
          <cell r="CB114">
            <v>97.967671915265271</v>
          </cell>
          <cell r="CD114">
            <v>93.902815157989323</v>
          </cell>
          <cell r="CE114">
            <v>94.745639849129333</v>
          </cell>
          <cell r="CF114">
            <v>94.44098613250344</v>
          </cell>
          <cell r="CG114">
            <v>104.75900340205742</v>
          </cell>
          <cell r="CH114">
            <v>82.69872846983931</v>
          </cell>
          <cell r="CI114">
            <v>109.34230673661051</v>
          </cell>
          <cell r="CJ114">
            <v>79.045831251626936</v>
          </cell>
          <cell r="CK114">
            <v>77.116864866149598</v>
          </cell>
          <cell r="CL114">
            <v>99.897174082025487</v>
          </cell>
          <cell r="CM114">
            <v>94.725084500294258</v>
          </cell>
        </row>
        <row r="115">
          <cell r="CA115">
            <v>35977</v>
          </cell>
          <cell r="CB115">
            <v>98.402955880445077</v>
          </cell>
          <cell r="CD115">
            <v>93.254890760050202</v>
          </cell>
          <cell r="CE115">
            <v>95.299898664333625</v>
          </cell>
          <cell r="CF115">
            <v>95.385029089394322</v>
          </cell>
          <cell r="CG115">
            <v>104.81305021817218</v>
          </cell>
          <cell r="CH115">
            <v>84.38690904655158</v>
          </cell>
          <cell r="CI115">
            <v>107.10800362360877</v>
          </cell>
          <cell r="CJ115">
            <v>80.660439844160919</v>
          </cell>
          <cell r="CK115">
            <v>73.723963381928073</v>
          </cell>
          <cell r="CL115">
            <v>100.15113397636264</v>
          </cell>
          <cell r="CM115">
            <v>94.575321175382427</v>
          </cell>
        </row>
        <row r="116">
          <cell r="CA116">
            <v>36008</v>
          </cell>
          <cell r="CB116">
            <v>98.570594622668494</v>
          </cell>
          <cell r="CD116">
            <v>91.933177977639133</v>
          </cell>
          <cell r="CE116">
            <v>93.88697644253574</v>
          </cell>
          <cell r="CF116">
            <v>93.184688140473142</v>
          </cell>
          <cell r="CG116">
            <v>99.887055810215443</v>
          </cell>
          <cell r="CH116">
            <v>85.021888085270518</v>
          </cell>
          <cell r="CI116">
            <v>110.21021358007775</v>
          </cell>
          <cell r="CJ116">
            <v>82.609967771396711</v>
          </cell>
          <cell r="CK116">
            <v>75.107571987777035</v>
          </cell>
          <cell r="CL116">
            <v>100.42442172327412</v>
          </cell>
          <cell r="CM116">
            <v>94.45768114862085</v>
          </cell>
        </row>
        <row r="117">
          <cell r="CA117">
            <v>36039</v>
          </cell>
          <cell r="CB117">
            <v>99.121363399774367</v>
          </cell>
          <cell r="CD117">
            <v>91.442001287629765</v>
          </cell>
          <cell r="CE117">
            <v>96.602233578087279</v>
          </cell>
          <cell r="CF117">
            <v>92.023323780507454</v>
          </cell>
          <cell r="CG117">
            <v>93.302817419677822</v>
          </cell>
          <cell r="CH117">
            <v>89.933686985348004</v>
          </cell>
          <cell r="CI117">
            <v>112.93968891258564</v>
          </cell>
          <cell r="CJ117">
            <v>87.282007414539663</v>
          </cell>
          <cell r="CK117">
            <v>79.644184586016394</v>
          </cell>
          <cell r="CL117">
            <v>101.14043123895313</v>
          </cell>
          <cell r="CM117">
            <v>95.561552487744137</v>
          </cell>
        </row>
        <row r="118">
          <cell r="CA118">
            <v>36069</v>
          </cell>
          <cell r="CB118">
            <v>98.140484960955632</v>
          </cell>
          <cell r="CD118">
            <v>90.405005169721818</v>
          </cell>
          <cell r="CE118">
            <v>97.34098959380907</v>
          </cell>
          <cell r="CF118">
            <v>90.339369911187717</v>
          </cell>
          <cell r="CG118">
            <v>91.931242548674746</v>
          </cell>
          <cell r="CH118">
            <v>90.551259659047901</v>
          </cell>
          <cell r="CI118">
            <v>111.15076504523049</v>
          </cell>
          <cell r="CJ118">
            <v>89.214891258896984</v>
          </cell>
          <cell r="CK118">
            <v>92.891237529207061</v>
          </cell>
          <cell r="CL118">
            <v>100.75300872550581</v>
          </cell>
          <cell r="CM118">
            <v>96.418592530562989</v>
          </cell>
        </row>
        <row r="119">
          <cell r="CA119">
            <v>36100</v>
          </cell>
          <cell r="CB119">
            <v>98.22702804595113</v>
          </cell>
          <cell r="CD119">
            <v>89.911038546973884</v>
          </cell>
          <cell r="CE119">
            <v>96.972615895368421</v>
          </cell>
          <cell r="CF119">
            <v>89.41467774536504</v>
          </cell>
          <cell r="CG119">
            <v>94.065344175353744</v>
          </cell>
          <cell r="CH119">
            <v>88.175960784056201</v>
          </cell>
          <cell r="CI119">
            <v>109.32852477465281</v>
          </cell>
          <cell r="CJ119">
            <v>85.611628711261886</v>
          </cell>
          <cell r="CK119">
            <v>88.225533485207507</v>
          </cell>
          <cell r="CL119">
            <v>101.08187492497306</v>
          </cell>
          <cell r="CM119">
            <v>95.592223678859753</v>
          </cell>
        </row>
        <row r="120">
          <cell r="CA120">
            <v>36130</v>
          </cell>
          <cell r="CB120">
            <v>98.895304320860362</v>
          </cell>
          <cell r="CD120">
            <v>90.328497117384359</v>
          </cell>
          <cell r="CE120">
            <v>96.890767400543297</v>
          </cell>
          <cell r="CF120">
            <v>89.473190080525782</v>
          </cell>
          <cell r="CG120">
            <v>95.893164123037479</v>
          </cell>
          <cell r="CH120">
            <v>90.128649820834681</v>
          </cell>
          <cell r="CI120">
            <v>111.29637780634167</v>
          </cell>
          <cell r="CJ120">
            <v>88.079785753467377</v>
          </cell>
          <cell r="CK120">
            <v>95.679126399332617</v>
          </cell>
          <cell r="CL120">
            <v>101.72128617077757</v>
          </cell>
          <cell r="CM120">
            <v>97.080260505192626</v>
          </cell>
        </row>
        <row r="122">
          <cell r="CA122">
            <v>36161</v>
          </cell>
          <cell r="CB122">
            <v>99.563255971148791</v>
          </cell>
          <cell r="CD122">
            <v>55.051874211416695</v>
          </cell>
          <cell r="CE122">
            <v>94.470270602364479</v>
          </cell>
          <cell r="CF122">
            <v>84.828973728197226</v>
          </cell>
          <cell r="CG122">
            <v>95.680593926370648</v>
          </cell>
          <cell r="CH122">
            <v>87.962841350154235</v>
          </cell>
          <cell r="CI122">
            <v>109.73835976082313</v>
          </cell>
          <cell r="CJ122">
            <v>85.944020046583503</v>
          </cell>
          <cell r="CK122">
            <v>93.442396877965393</v>
          </cell>
          <cell r="CL122">
            <v>102.17659632046434</v>
          </cell>
          <cell r="CM122">
            <v>91.582462229939821</v>
          </cell>
        </row>
        <row r="123">
          <cell r="CA123">
            <v>36192</v>
          </cell>
          <cell r="CB123">
            <v>99.55004121913349</v>
          </cell>
          <cell r="CD123">
            <v>54.749365375830351</v>
          </cell>
          <cell r="CE123">
            <v>92.054185586081132</v>
          </cell>
          <cell r="CF123">
            <v>81.930388766980485</v>
          </cell>
          <cell r="CG123">
            <v>98.35800995865192</v>
          </cell>
          <cell r="CH123">
            <v>85.520382301390214</v>
          </cell>
          <cell r="CI123">
            <v>107.19310659875599</v>
          </cell>
          <cell r="CJ123">
            <v>85.138565389858186</v>
          </cell>
          <cell r="CK123">
            <v>90.919108275064232</v>
          </cell>
          <cell r="CL123">
            <v>102.45197817012424</v>
          </cell>
          <cell r="CM123">
            <v>90.728375163025163</v>
          </cell>
        </row>
        <row r="124">
          <cell r="CA124">
            <v>36220</v>
          </cell>
          <cell r="CB124">
            <v>99.740627520818137</v>
          </cell>
          <cell r="CD124">
            <v>66.007078119578978</v>
          </cell>
          <cell r="CE124">
            <v>96.457413265249457</v>
          </cell>
          <cell r="CF124">
            <v>86.584075288131629</v>
          </cell>
          <cell r="CG124">
            <v>102.49890502721082</v>
          </cell>
          <cell r="CH124">
            <v>84.206538040799657</v>
          </cell>
          <cell r="CI124">
            <v>109.14300791923652</v>
          </cell>
          <cell r="CJ124">
            <v>83.145409378937757</v>
          </cell>
          <cell r="CK124">
            <v>91.895515741630646</v>
          </cell>
          <cell r="CL124">
            <v>103.7389926739931</v>
          </cell>
          <cell r="CM124">
            <v>93.811510210292724</v>
          </cell>
        </row>
        <row r="125">
          <cell r="CA125">
            <v>36251</v>
          </cell>
          <cell r="CB125">
            <v>100.31420711759529</v>
          </cell>
          <cell r="CD125">
            <v>69.495685978305104</v>
          </cell>
          <cell r="CE125">
            <v>97.297186463895045</v>
          </cell>
          <cell r="CF125">
            <v>87.65476431001224</v>
          </cell>
          <cell r="CG125">
            <v>99.455104856688976</v>
          </cell>
          <cell r="CH125">
            <v>83.664486694947655</v>
          </cell>
          <cell r="CI125">
            <v>110.35165152234237</v>
          </cell>
          <cell r="CJ125">
            <v>82.220160810266051</v>
          </cell>
          <cell r="CK125">
            <v>92.239267325276927</v>
          </cell>
          <cell r="CL125">
            <v>105.19738937693086</v>
          </cell>
          <cell r="CM125">
            <v>94.771515924360443</v>
          </cell>
        </row>
        <row r="126">
          <cell r="CA126">
            <v>36281</v>
          </cell>
          <cell r="CB126">
            <v>100.2553191444871</v>
          </cell>
          <cell r="CD126">
            <v>67.16201409565889</v>
          </cell>
          <cell r="CE126">
            <v>95.962242231230462</v>
          </cell>
          <cell r="CF126">
            <v>88.765636442619012</v>
          </cell>
          <cell r="CG126">
            <v>96.654688069272439</v>
          </cell>
          <cell r="CH126">
            <v>83.214903667763792</v>
          </cell>
          <cell r="CI126">
            <v>110.68596580973131</v>
          </cell>
          <cell r="CJ126">
            <v>82.322585894793079</v>
          </cell>
          <cell r="CK126">
            <v>91.272853394908964</v>
          </cell>
          <cell r="CL126">
            <v>105.64925854187021</v>
          </cell>
          <cell r="CM126">
            <v>94.357368012259215</v>
          </cell>
        </row>
        <row r="127">
          <cell r="CA127">
            <v>36312</v>
          </cell>
          <cell r="CB127">
            <v>100.22018245378197</v>
          </cell>
          <cell r="CD127">
            <v>65.597781221556346</v>
          </cell>
          <cell r="CE127">
            <v>91.568204254981467</v>
          </cell>
          <cell r="CF127">
            <v>88.64195947840777</v>
          </cell>
          <cell r="CG127">
            <v>93.098780228607154</v>
          </cell>
          <cell r="CH127">
            <v>82.174546646376101</v>
          </cell>
          <cell r="CI127">
            <v>108.56933018927839</v>
          </cell>
          <cell r="CJ127">
            <v>80.872358212320336</v>
          </cell>
          <cell r="CK127">
            <v>91.691135789209184</v>
          </cell>
          <cell r="CL127">
            <v>105.62276211013813</v>
          </cell>
          <cell r="CM127">
            <v>93.389862574161327</v>
          </cell>
        </row>
        <row r="128">
          <cell r="CA128">
            <v>36342</v>
          </cell>
          <cell r="CB128">
            <v>100.89835690459883</v>
          </cell>
          <cell r="CD128">
            <v>65.957406892537861</v>
          </cell>
          <cell r="CE128">
            <v>92.735787393970853</v>
          </cell>
          <cell r="CF128">
            <v>89.385255710922152</v>
          </cell>
          <cell r="CG128">
            <v>90.600217648473574</v>
          </cell>
          <cell r="CH128">
            <v>85.938596112495318</v>
          </cell>
          <cell r="CI128">
            <v>112.11435415493504</v>
          </cell>
          <cell r="CJ128">
            <v>83.974505701369935</v>
          </cell>
          <cell r="CK128">
            <v>96.281487941811775</v>
          </cell>
          <cell r="CL128">
            <v>106.45754312452478</v>
          </cell>
          <cell r="CM128">
            <v>94.763635535701468</v>
          </cell>
        </row>
        <row r="129">
          <cell r="CA129">
            <v>36373</v>
          </cell>
          <cell r="CB129">
            <v>100.68135982671707</v>
          </cell>
          <cell r="CD129">
            <v>61.460909210423544</v>
          </cell>
          <cell r="CE129">
            <v>92.556392785088931</v>
          </cell>
          <cell r="CF129">
            <v>88.5159706692979</v>
          </cell>
          <cell r="CG129">
            <v>83.480314721078599</v>
          </cell>
          <cell r="CH129">
            <v>85.130300839530648</v>
          </cell>
          <cell r="CI129">
            <v>111.59029687885864</v>
          </cell>
          <cell r="CJ129">
            <v>83.425224407282982</v>
          </cell>
          <cell r="CK129">
            <v>101.81570516176366</v>
          </cell>
          <cell r="CL129">
            <v>106.88609307146726</v>
          </cell>
          <cell r="CM129">
            <v>94.045222564838923</v>
          </cell>
        </row>
        <row r="130">
          <cell r="CA130">
            <v>36404</v>
          </cell>
          <cell r="CB130">
            <v>100.39926032790267</v>
          </cell>
          <cell r="CD130">
            <v>61.811064976778987</v>
          </cell>
          <cell r="CE130">
            <v>90.119018477116313</v>
          </cell>
          <cell r="CF130">
            <v>86.7182049358331</v>
          </cell>
          <cell r="CG130">
            <v>81.445164854199561</v>
          </cell>
          <cell r="CH130">
            <v>85.395288780740771</v>
          </cell>
          <cell r="CI130">
            <v>114.69117436891779</v>
          </cell>
          <cell r="CJ130">
            <v>84.458629138918695</v>
          </cell>
          <cell r="CK130">
            <v>105.49592083089232</v>
          </cell>
          <cell r="CL130">
            <v>107.31077927993302</v>
          </cell>
          <cell r="CM130">
            <v>94.240305641941731</v>
          </cell>
        </row>
        <row r="131">
          <cell r="CA131">
            <v>36434</v>
          </cell>
          <cell r="CB131">
            <v>100.34783154340268</v>
          </cell>
          <cell r="CD131">
            <v>61.581056994220653</v>
          </cell>
          <cell r="CE131">
            <v>87.621255329536709</v>
          </cell>
          <cell r="CF131">
            <v>85.728875713559702</v>
          </cell>
          <cell r="CG131">
            <v>83.73774516205907</v>
          </cell>
          <cell r="CH131">
            <v>83.777321652602325</v>
          </cell>
          <cell r="CI131">
            <v>114.26483656309017</v>
          </cell>
          <cell r="CJ131">
            <v>83.227427768820178</v>
          </cell>
          <cell r="CK131">
            <v>107.09266627406102</v>
          </cell>
          <cell r="CL131">
            <v>107.46478824844591</v>
          </cell>
          <cell r="CM131">
            <v>94.054350425716919</v>
          </cell>
        </row>
        <row r="132">
          <cell r="CA132">
            <v>36465</v>
          </cell>
          <cell r="CB132">
            <v>100.29526436013721</v>
          </cell>
          <cell r="CD132">
            <v>63.135627599010881</v>
          </cell>
          <cell r="CE132">
            <v>88.241060110967211</v>
          </cell>
          <cell r="CF132">
            <v>86.375403221358596</v>
          </cell>
          <cell r="CG132">
            <v>86.383692657070128</v>
          </cell>
          <cell r="CH132">
            <v>81.190988523614635</v>
          </cell>
          <cell r="CI132">
            <v>111.77724475421115</v>
          </cell>
          <cell r="CJ132">
            <v>80.026431788516732</v>
          </cell>
          <cell r="CK132">
            <v>109.30544990412112</v>
          </cell>
          <cell r="CL132">
            <v>107.8128306181076</v>
          </cell>
          <cell r="CM132">
            <v>94.361310237037543</v>
          </cell>
        </row>
        <row r="133">
          <cell r="CA133">
            <v>36495</v>
          </cell>
          <cell r="CB133">
            <v>99.977610118560392</v>
          </cell>
          <cell r="CD133">
            <v>67.555408050599411</v>
          </cell>
          <cell r="CE133">
            <v>91.209198298760825</v>
          </cell>
          <cell r="CF133">
            <v>85.989203265498986</v>
          </cell>
          <cell r="CG133">
            <v>88.936474789093552</v>
          </cell>
          <cell r="CH133">
            <v>80.546596914464416</v>
          </cell>
          <cell r="CI133">
            <v>113.15695477570486</v>
          </cell>
          <cell r="CJ133">
            <v>79.55800500139793</v>
          </cell>
          <cell r="CK133">
            <v>108.42979533502832</v>
          </cell>
          <cell r="CL133">
            <v>107.53833053014372</v>
          </cell>
          <cell r="CM133">
            <v>95.149734012013568</v>
          </cell>
        </row>
        <row r="135">
          <cell r="CA135">
            <v>36526</v>
          </cell>
          <cell r="CB135">
            <v>100.79168285613098</v>
          </cell>
          <cell r="CD135">
            <v>67.684018815143105</v>
          </cell>
          <cell r="CE135">
            <v>93.434029860411854</v>
          </cell>
          <cell r="CF135">
            <v>86.537698250219236</v>
          </cell>
          <cell r="CG135">
            <v>85.828937262812531</v>
          </cell>
          <cell r="CH135">
            <v>79.177799040535078</v>
          </cell>
          <cell r="CI135">
            <v>113.27572371343348</v>
          </cell>
          <cell r="CJ135">
            <v>77.236050149950287</v>
          </cell>
          <cell r="CK135">
            <v>103.56553761761305</v>
          </cell>
          <cell r="CL135">
            <v>107.82461898652696</v>
          </cell>
          <cell r="CM135">
            <v>94.741989368328646</v>
          </cell>
        </row>
        <row r="136">
          <cell r="CA136">
            <v>36557</v>
          </cell>
          <cell r="CB136">
            <v>100.87267628103224</v>
          </cell>
          <cell r="CD136">
            <v>69.457103230208645</v>
          </cell>
          <cell r="CE136">
            <v>97.045042620692897</v>
          </cell>
          <cell r="CF136">
            <v>87.750335932284244</v>
          </cell>
          <cell r="CG136">
            <v>88.688187909887802</v>
          </cell>
          <cell r="CH136">
            <v>78.800141091759031</v>
          </cell>
          <cell r="CI136">
            <v>111.74918517265266</v>
          </cell>
          <cell r="CJ136">
            <v>77.238598501442482</v>
          </cell>
          <cell r="CK136">
            <v>100.43359105978256</v>
          </cell>
          <cell r="CL136">
            <v>108.54696388301876</v>
          </cell>
          <cell r="CM136">
            <v>95.356757176691943</v>
          </cell>
        </row>
        <row r="137">
          <cell r="CA137">
            <v>36586</v>
          </cell>
          <cell r="CB137">
            <v>100.38876286022325</v>
          </cell>
          <cell r="CD137">
            <v>70.257186452150918</v>
          </cell>
          <cell r="CE137">
            <v>97.828391449745737</v>
          </cell>
          <cell r="CF137">
            <v>87.510816295777275</v>
          </cell>
          <cell r="CG137">
            <v>89.809783804052458</v>
          </cell>
          <cell r="CH137">
            <v>77.597354953898247</v>
          </cell>
          <cell r="CI137">
            <v>112.59627141883406</v>
          </cell>
          <cell r="CJ137">
            <v>77.266865504906463</v>
          </cell>
          <cell r="CK137">
            <v>107.20631769512725</v>
          </cell>
          <cell r="CL137">
            <v>109.49449016427764</v>
          </cell>
          <cell r="CM137">
            <v>96.315077274515417</v>
          </cell>
        </row>
        <row r="138">
          <cell r="CA138">
            <v>36617</v>
          </cell>
          <cell r="CB138">
            <v>99.810299952232754</v>
          </cell>
          <cell r="CD138">
            <v>67.898593423761696</v>
          </cell>
          <cell r="CE138">
            <v>95.266794716829693</v>
          </cell>
          <cell r="CF138">
            <v>87.723501454301271</v>
          </cell>
          <cell r="CG138">
            <v>88.011321510815748</v>
          </cell>
          <cell r="CH138">
            <v>73.565076547948138</v>
          </cell>
          <cell r="CI138">
            <v>111.30021750907618</v>
          </cell>
          <cell r="CJ138">
            <v>73.741471947357681</v>
          </cell>
          <cell r="CK138">
            <v>102.87225647981646</v>
          </cell>
          <cell r="CL138">
            <v>109.04986709996172</v>
          </cell>
          <cell r="CM138">
            <v>94.648043750458243</v>
          </cell>
        </row>
        <row r="139">
          <cell r="CA139">
            <v>36647</v>
          </cell>
          <cell r="CB139">
            <v>101.17233076329045</v>
          </cell>
          <cell r="CD139">
            <v>68.078300906907884</v>
          </cell>
          <cell r="CE139">
            <v>95.278515993067955</v>
          </cell>
          <cell r="CF139">
            <v>88.421457284661457</v>
          </cell>
          <cell r="CG139">
            <v>86.363450961785887</v>
          </cell>
          <cell r="CH139">
            <v>76.508521923249489</v>
          </cell>
          <cell r="CI139">
            <v>108.40921286685274</v>
          </cell>
          <cell r="CJ139">
            <v>76.864688181698597</v>
          </cell>
          <cell r="CK139">
            <v>104.74731854476428</v>
          </cell>
          <cell r="CL139">
            <v>111.09912365586865</v>
          </cell>
          <cell r="CM139">
            <v>95.690750583017333</v>
          </cell>
        </row>
        <row r="140">
          <cell r="CA140">
            <v>36678</v>
          </cell>
          <cell r="CB140">
            <v>101.28385368300783</v>
          </cell>
          <cell r="CD140">
            <v>69.471447282937262</v>
          </cell>
          <cell r="CE140">
            <v>93.360249717079142</v>
          </cell>
          <cell r="CF140">
            <v>90.021315458125471</v>
          </cell>
          <cell r="CG140">
            <v>84.616685208712667</v>
          </cell>
          <cell r="CH140">
            <v>79.323838702972338</v>
          </cell>
          <cell r="CI140">
            <v>110.31175655441314</v>
          </cell>
          <cell r="CJ140">
            <v>79.809903380340444</v>
          </cell>
          <cell r="CK140">
            <v>106.73652020730771</v>
          </cell>
          <cell r="CL140">
            <v>112.01273371711773</v>
          </cell>
          <cell r="CM140">
            <v>96.683545398032649</v>
          </cell>
        </row>
        <row r="141">
          <cell r="CA141">
            <v>36708</v>
          </cell>
          <cell r="CB141">
            <v>101.48525671107822</v>
          </cell>
          <cell r="CD141">
            <v>71.662311090765172</v>
          </cell>
          <cell r="CE141">
            <v>90.070903060622655</v>
          </cell>
          <cell r="CF141">
            <v>90.029188260489832</v>
          </cell>
          <cell r="CG141">
            <v>82.910914528479154</v>
          </cell>
          <cell r="CH141">
            <v>76.806512814486936</v>
          </cell>
          <cell r="CI141">
            <v>108.39976098076352</v>
          </cell>
          <cell r="CJ141">
            <v>77.674983166023011</v>
          </cell>
          <cell r="CK141">
            <v>102.27554009375122</v>
          </cell>
          <cell r="CL141">
            <v>112.00892048496067</v>
          </cell>
          <cell r="CM141">
            <v>95.866551885529077</v>
          </cell>
        </row>
        <row r="142">
          <cell r="CA142">
            <v>36739</v>
          </cell>
          <cell r="CB142">
            <v>101.3491686254474</v>
          </cell>
          <cell r="CD142">
            <v>70.476814947050769</v>
          </cell>
          <cell r="CE142">
            <v>89.73243121927193</v>
          </cell>
          <cell r="CF142">
            <v>90.546809080071199</v>
          </cell>
          <cell r="CG142">
            <v>82.055931801283648</v>
          </cell>
          <cell r="CH142">
            <v>74.002284717509283</v>
          </cell>
          <cell r="CI142">
            <v>105.3826533640341</v>
          </cell>
          <cell r="CJ142">
            <v>75.043818038944138</v>
          </cell>
          <cell r="CK142">
            <v>105.37226649158553</v>
          </cell>
          <cell r="CL142">
            <v>112.09988972454543</v>
          </cell>
          <cell r="CM142">
            <v>95.434044207858975</v>
          </cell>
        </row>
        <row r="143">
          <cell r="CA143">
            <v>36770</v>
          </cell>
          <cell r="CB143">
            <v>100.0002052182118</v>
          </cell>
          <cell r="CD143">
            <v>69.18569434798691</v>
          </cell>
          <cell r="CE143">
            <v>88.944525044134025</v>
          </cell>
          <cell r="CF143">
            <v>88.739347636304402</v>
          </cell>
          <cell r="CG143">
            <v>81.344783649224794</v>
          </cell>
          <cell r="CH143">
            <v>72.258626520141547</v>
          </cell>
          <cell r="CI143">
            <v>105.97673857544319</v>
          </cell>
          <cell r="CJ143">
            <v>74.465138670705372</v>
          </cell>
          <cell r="CK143">
            <v>102.55683423774282</v>
          </cell>
          <cell r="CL143">
            <v>111.35521472083705</v>
          </cell>
          <cell r="CM143">
            <v>94.284364612465879</v>
          </cell>
        </row>
        <row r="144">
          <cell r="CA144">
            <v>36800</v>
          </cell>
          <cell r="CB144">
            <v>99.327070727626136</v>
          </cell>
          <cell r="CD144">
            <v>66.363886695063385</v>
          </cell>
          <cell r="CE144">
            <v>87.629945200225151</v>
          </cell>
          <cell r="CF144">
            <v>88.2603673822735</v>
          </cell>
          <cell r="CG144">
            <v>82.795444072149891</v>
          </cell>
          <cell r="CH144">
            <v>68.59720962769822</v>
          </cell>
          <cell r="CI144">
            <v>103.6037502942544</v>
          </cell>
          <cell r="CJ144">
            <v>70.847820607486639</v>
          </cell>
          <cell r="CK144">
            <v>100.96206365978627</v>
          </cell>
          <cell r="CL144">
            <v>110.5968445422584</v>
          </cell>
          <cell r="CM144">
            <v>92.842736819731641</v>
          </cell>
        </row>
        <row r="145">
          <cell r="CA145">
            <v>36831</v>
          </cell>
          <cell r="CB145">
            <v>102.06636739236605</v>
          </cell>
          <cell r="CD145">
            <v>66.836919128378781</v>
          </cell>
          <cell r="CE145">
            <v>89.309281382822604</v>
          </cell>
          <cell r="CF145">
            <v>90.890248679413759</v>
          </cell>
          <cell r="CG145">
            <v>85.149100895037463</v>
          </cell>
          <cell r="CH145">
            <v>73.205424537051371</v>
          </cell>
          <cell r="CI145">
            <v>105.21136174094327</v>
          </cell>
          <cell r="CJ145">
            <v>75.569577740883972</v>
          </cell>
          <cell r="CK145">
            <v>102.41149023848288</v>
          </cell>
          <cell r="CL145">
            <v>114.27303589328078</v>
          </cell>
          <cell r="CM145">
            <v>95.507196720898591</v>
          </cell>
        </row>
        <row r="146">
          <cell r="CA146">
            <v>36861</v>
          </cell>
          <cell r="CB146">
            <v>102.35791898164092</v>
          </cell>
          <cell r="CD146">
            <v>67.858722394910529</v>
          </cell>
          <cell r="CE146">
            <v>90.95024995416027</v>
          </cell>
          <cell r="CF146">
            <v>91.659300796282011</v>
          </cell>
          <cell r="CG146">
            <v>83.467947186057856</v>
          </cell>
          <cell r="CH146">
            <v>79.004739379739448</v>
          </cell>
          <cell r="CI146">
            <v>111.13900082387187</v>
          </cell>
          <cell r="CJ146">
            <v>81.41896316470239</v>
          </cell>
          <cell r="CK146">
            <v>99.282857558716557</v>
          </cell>
          <cell r="CL146">
            <v>114.67290480927626</v>
          </cell>
          <cell r="CM146">
            <v>96.670825305712413</v>
          </cell>
        </row>
        <row r="147">
          <cell r="CA147" t="str">
            <v xml:space="preserve"> </v>
          </cell>
        </row>
        <row r="148">
          <cell r="CA148">
            <v>36892</v>
          </cell>
          <cell r="CB148">
            <v>102.69331748474121</v>
          </cell>
          <cell r="CD148">
            <v>67.854516761748471</v>
          </cell>
          <cell r="CE148">
            <v>93.195482827907554</v>
          </cell>
          <cell r="CF148">
            <v>91.540600594288364</v>
          </cell>
          <cell r="CG148">
            <v>84.402036130240575</v>
          </cell>
          <cell r="CH148">
            <v>79.187493661057772</v>
          </cell>
          <cell r="CI148">
            <v>109.07303564305253</v>
          </cell>
          <cell r="CJ148">
            <v>81.072840853011428</v>
          </cell>
          <cell r="CK148">
            <v>98.448495238385092</v>
          </cell>
          <cell r="CL148">
            <v>115.68091790349237</v>
          </cell>
          <cell r="CM148">
            <v>96.965252396484672</v>
          </cell>
        </row>
        <row r="149">
          <cell r="CA149">
            <v>36923</v>
          </cell>
          <cell r="CB149">
            <v>102.81645883879062</v>
          </cell>
          <cell r="CD149">
            <v>66.071569808105139</v>
          </cell>
          <cell r="CE149">
            <v>92.00281188102602</v>
          </cell>
          <cell r="CF149">
            <v>92.605268624762672</v>
          </cell>
          <cell r="CG149">
            <v>85.639957438769557</v>
          </cell>
          <cell r="CH149">
            <v>79.596492325798962</v>
          </cell>
          <cell r="CI149">
            <v>108.4301012549145</v>
          </cell>
          <cell r="CJ149">
            <v>80.108517760924443</v>
          </cell>
          <cell r="CK149">
            <v>97.521626163341807</v>
          </cell>
          <cell r="CL149">
            <v>116.5392979035305</v>
          </cell>
          <cell r="CM149">
            <v>96.898732489952351</v>
          </cell>
        </row>
        <row r="150">
          <cell r="CA150">
            <v>36951</v>
          </cell>
          <cell r="CB150">
            <v>103.88859791123268</v>
          </cell>
          <cell r="CD150">
            <v>63.234128075083838</v>
          </cell>
          <cell r="CE150">
            <v>89.496671483936581</v>
          </cell>
          <cell r="CF150">
            <v>93.869787619243795</v>
          </cell>
          <cell r="CG150">
            <v>85.561209979685827</v>
          </cell>
          <cell r="CH150">
            <v>76.727027203103091</v>
          </cell>
          <cell r="CI150">
            <v>107.92017015811408</v>
          </cell>
          <cell r="CJ150">
            <v>78.04152880402539</v>
          </cell>
          <cell r="CK150">
            <v>91.878766204132774</v>
          </cell>
          <cell r="CL150">
            <v>117.80154709959936</v>
          </cell>
          <cell r="CM150">
            <v>96.002424013136974</v>
          </cell>
        </row>
        <row r="151">
          <cell r="CA151">
            <v>36982</v>
          </cell>
          <cell r="CB151">
            <v>104.84717085007082</v>
          </cell>
          <cell r="CD151">
            <v>62.763073727179872</v>
          </cell>
          <cell r="CE151">
            <v>89.000699718839343</v>
          </cell>
          <cell r="CF151">
            <v>91.882950926757545</v>
          </cell>
          <cell r="CG151">
            <v>85.687141529633038</v>
          </cell>
          <cell r="CH151">
            <v>77.906079913018232</v>
          </cell>
          <cell r="CI151">
            <v>108.75365554341636</v>
          </cell>
          <cell r="CJ151">
            <v>78.458521549458624</v>
          </cell>
          <cell r="CK151">
            <v>93.510358003998221</v>
          </cell>
          <cell r="CL151">
            <v>118.56963130819518</v>
          </cell>
          <cell r="CM151">
            <v>96.29749897035056</v>
          </cell>
        </row>
        <row r="152">
          <cell r="CA152">
            <v>37012</v>
          </cell>
          <cell r="CB152">
            <v>105.90399945383805</v>
          </cell>
          <cell r="CD152">
            <v>59.906593489839111</v>
          </cell>
          <cell r="CE152">
            <v>88.782782334029605</v>
          </cell>
          <cell r="CF152">
            <v>92.003173879911159</v>
          </cell>
          <cell r="CG152">
            <v>87.535589565543589</v>
          </cell>
          <cell r="CH152">
            <v>75.243739913857226</v>
          </cell>
          <cell r="CI152">
            <v>108.93045810274788</v>
          </cell>
          <cell r="CJ152">
            <v>76.800330866243044</v>
          </cell>
          <cell r="CK152">
            <v>98.249321816386924</v>
          </cell>
          <cell r="CL152">
            <v>120.23158082572519</v>
          </cell>
          <cell r="CM152">
            <v>96.683470914624124</v>
          </cell>
        </row>
        <row r="153">
          <cell r="CA153">
            <v>37043</v>
          </cell>
          <cell r="CB153">
            <v>97.530238242780257</v>
          </cell>
          <cell r="CD153">
            <v>61.141240534961753</v>
          </cell>
          <cell r="CE153">
            <v>86.267367257831921</v>
          </cell>
          <cell r="CF153">
            <v>94.562126108643923</v>
          </cell>
          <cell r="CG153">
            <v>88.12062328083951</v>
          </cell>
          <cell r="CH153">
            <v>75.166619726499775</v>
          </cell>
          <cell r="CI153">
            <v>108.74277480685912</v>
          </cell>
          <cell r="CJ153">
            <v>76.677094824427598</v>
          </cell>
          <cell r="CK153">
            <v>93.472825069639697</v>
          </cell>
          <cell r="CL153">
            <v>120.09636162485482</v>
          </cell>
          <cell r="CM153">
            <v>95.572262460237383</v>
          </cell>
        </row>
        <row r="154">
          <cell r="CA154">
            <v>37073</v>
          </cell>
          <cell r="CB154">
            <v>98.114734221317931</v>
          </cell>
          <cell r="CD154">
            <v>58.584764505672602</v>
          </cell>
          <cell r="CE154">
            <v>80.861419307214334</v>
          </cell>
          <cell r="CF154">
            <v>94.990561186342191</v>
          </cell>
          <cell r="CG154">
            <v>88.346716485465009</v>
          </cell>
          <cell r="CH154">
            <v>77.638296733170904</v>
          </cell>
          <cell r="CI154">
            <v>109.28482753176061</v>
          </cell>
          <cell r="CJ154">
            <v>79.416761726349279</v>
          </cell>
          <cell r="CK154">
            <v>92.491533120390272</v>
          </cell>
          <cell r="CL154">
            <v>119.41420239846137</v>
          </cell>
          <cell r="CM154">
            <v>94.969062302097129</v>
          </cell>
        </row>
        <row r="155">
          <cell r="CA155">
            <v>37104</v>
          </cell>
          <cell r="CB155">
            <v>100.68913526184799</v>
          </cell>
          <cell r="CD155">
            <v>57.196507257031257</v>
          </cell>
          <cell r="CE155">
            <v>83.00343863603652</v>
          </cell>
          <cell r="CF155">
            <v>96.182115565292833</v>
          </cell>
          <cell r="CG155">
            <v>89.50428949501179</v>
          </cell>
          <cell r="CH155">
            <v>81.896706355184165</v>
          </cell>
          <cell r="CI155">
            <v>113.21589850960648</v>
          </cell>
          <cell r="CJ155">
            <v>83.265458220002927</v>
          </cell>
          <cell r="CK155">
            <v>98.936749468969026</v>
          </cell>
          <cell r="CL155">
            <v>120.9284573679049</v>
          </cell>
          <cell r="CM155">
            <v>97.070135565060156</v>
          </cell>
        </row>
        <row r="156">
          <cell r="CA156">
            <v>37135</v>
          </cell>
          <cell r="CB156">
            <v>101.58888880617467</v>
          </cell>
          <cell r="CD156">
            <v>55.254973267456208</v>
          </cell>
          <cell r="CE156">
            <v>80.148227631455299</v>
          </cell>
          <cell r="CF156">
            <v>97.010153063846815</v>
          </cell>
          <cell r="CG156">
            <v>89.322744277917465</v>
          </cell>
          <cell r="CH156">
            <v>82.40686270393735</v>
          </cell>
          <cell r="CI156">
            <v>115.58541275288228</v>
          </cell>
          <cell r="CJ156">
            <v>86.257304941058649</v>
          </cell>
          <cell r="CK156">
            <v>98.894662030633427</v>
          </cell>
          <cell r="CL156">
            <v>122.51530419118144</v>
          </cell>
          <cell r="CM156">
            <v>97.39969384147507</v>
          </cell>
        </row>
        <row r="157">
          <cell r="CA157">
            <v>37165</v>
          </cell>
          <cell r="CB157">
            <v>101.63829830413478</v>
          </cell>
          <cell r="CD157">
            <v>54.966934804047476</v>
          </cell>
          <cell r="CE157">
            <v>79.054964914316614</v>
          </cell>
          <cell r="CF157">
            <v>98.980174007392236</v>
          </cell>
          <cell r="CG157">
            <v>91.085189756501649</v>
          </cell>
          <cell r="CH157">
            <v>82.023328235395439</v>
          </cell>
          <cell r="CI157">
            <v>115.23760766887905</v>
          </cell>
          <cell r="CJ157">
            <v>86.266023334423551</v>
          </cell>
          <cell r="CK157">
            <v>97.700696629563325</v>
          </cell>
          <cell r="CL157">
            <v>123.09790586422145</v>
          </cell>
          <cell r="CM157">
            <v>97.556658413783239</v>
          </cell>
        </row>
        <row r="158">
          <cell r="CA158">
            <v>37196</v>
          </cell>
          <cell r="CB158">
            <v>101.21969104550956</v>
          </cell>
          <cell r="CD158">
            <v>59.748712627181966</v>
          </cell>
          <cell r="CE158">
            <v>82.006517560492625</v>
          </cell>
          <cell r="CF158">
            <v>99.33028181376838</v>
          </cell>
          <cell r="CG158">
            <v>91.887046161863779</v>
          </cell>
          <cell r="CH158">
            <v>81.002201250739247</v>
          </cell>
          <cell r="CI158">
            <v>113.20550072546112</v>
          </cell>
          <cell r="CJ158">
            <v>85.737849398775637</v>
          </cell>
          <cell r="CK158">
            <v>96.480903070699554</v>
          </cell>
          <cell r="CL158">
            <v>123.71454251708232</v>
          </cell>
          <cell r="CM158">
            <v>98.452169350523079</v>
          </cell>
        </row>
        <row r="159">
          <cell r="CA159">
            <v>37226</v>
          </cell>
          <cell r="CB159">
            <v>101.37560349639001</v>
          </cell>
          <cell r="CD159">
            <v>66.322527021983888</v>
          </cell>
          <cell r="CE159">
            <v>85.464703635914901</v>
          </cell>
          <cell r="CF159">
            <v>99.20033541255539</v>
          </cell>
          <cell r="CG159">
            <v>93.349934247726196</v>
          </cell>
          <cell r="CH159">
            <v>80.745966782199858</v>
          </cell>
          <cell r="CI159">
            <v>114.9956550658501</v>
          </cell>
          <cell r="CJ159">
            <v>84.460864742357913</v>
          </cell>
          <cell r="CK159">
            <v>90.82450074773088</v>
          </cell>
          <cell r="CL159">
            <v>123.14585370367314</v>
          </cell>
          <cell r="CM159">
            <v>99.152159288343285</v>
          </cell>
        </row>
        <row r="161">
          <cell r="CA161">
            <v>37257</v>
          </cell>
          <cell r="CB161">
            <v>57.15732115149379</v>
          </cell>
          <cell r="CD161">
            <v>64.658637602742743</v>
          </cell>
          <cell r="CE161">
            <v>84.486516566410401</v>
          </cell>
          <cell r="CF161">
            <v>98.571698976706074</v>
          </cell>
          <cell r="CG161">
            <v>95.416507605165108</v>
          </cell>
          <cell r="CH161">
            <v>80.412007059428319</v>
          </cell>
          <cell r="CI161">
            <v>113.36634837795141</v>
          </cell>
          <cell r="CJ161">
            <v>83.798580951922133</v>
          </cell>
          <cell r="CK161">
            <v>90.606957661093261</v>
          </cell>
          <cell r="CL161">
            <v>124.88519276444687</v>
          </cell>
          <cell r="CM161">
            <v>92.821797646301178</v>
          </cell>
        </row>
        <row r="162">
          <cell r="CA162">
            <v>37288</v>
          </cell>
          <cell r="CB162">
            <v>52.368749845614339</v>
          </cell>
          <cell r="CD162">
            <v>67.266445520263417</v>
          </cell>
          <cell r="CE162">
            <v>85.805480262298303</v>
          </cell>
          <cell r="CF162">
            <v>99.534956969595186</v>
          </cell>
          <cell r="CG162">
            <v>95.746604892225889</v>
          </cell>
          <cell r="CH162">
            <v>81.39624064252699</v>
          </cell>
          <cell r="CI162">
            <v>114.73432627516547</v>
          </cell>
          <cell r="CJ162">
            <v>84.538212166812187</v>
          </cell>
          <cell r="CK162">
            <v>89.917771251064707</v>
          </cell>
          <cell r="CL162">
            <v>126.37507371275167</v>
          </cell>
          <cell r="CM162">
            <v>92.890634751066372</v>
          </cell>
        </row>
        <row r="163">
          <cell r="CA163">
            <v>37316</v>
          </cell>
          <cell r="CB163">
            <v>42.239876906325946</v>
          </cell>
          <cell r="CD163">
            <v>69.14330940076627</v>
          </cell>
          <cell r="CE163">
            <v>89.004455365807118</v>
          </cell>
          <cell r="CF163">
            <v>101.938451117989</v>
          </cell>
          <cell r="CG163">
            <v>99.090541723902291</v>
          </cell>
          <cell r="CH163">
            <v>83.123857603832874</v>
          </cell>
          <cell r="CI163">
            <v>117.02410598621029</v>
          </cell>
          <cell r="CJ163">
            <v>86.734038637481319</v>
          </cell>
          <cell r="CK163">
            <v>92.289915832439561</v>
          </cell>
          <cell r="CL163">
            <v>128.38981527195295</v>
          </cell>
          <cell r="CM163">
            <v>92.489705468159315</v>
          </cell>
        </row>
        <row r="164">
          <cell r="CA164">
            <v>37347</v>
          </cell>
          <cell r="CB164">
            <v>44.206072423532362</v>
          </cell>
          <cell r="CD164">
            <v>69.041402808013302</v>
          </cell>
          <cell r="CE164">
            <v>91.058046816598505</v>
          </cell>
          <cell r="CF164">
            <v>103.40636526302778</v>
          </cell>
          <cell r="CG164">
            <v>100.28307525603135</v>
          </cell>
          <cell r="CH164">
            <v>86.384009058579096</v>
          </cell>
          <cell r="CI164">
            <v>121.21627900212731</v>
          </cell>
          <cell r="CJ164">
            <v>91.141717463216807</v>
          </cell>
          <cell r="CK164">
            <v>95.927041433548126</v>
          </cell>
          <cell r="CL164">
            <v>129.69788714156215</v>
          </cell>
          <cell r="CM164">
            <v>94.561210180789956</v>
          </cell>
        </row>
        <row r="165">
          <cell r="CA165">
            <v>37377</v>
          </cell>
          <cell r="CB165">
            <v>38.830552416678934</v>
          </cell>
          <cell r="CD165">
            <v>65.11629975984718</v>
          </cell>
          <cell r="CE165">
            <v>90.387340324603045</v>
          </cell>
          <cell r="CF165">
            <v>103.34722066043969</v>
          </cell>
          <cell r="CG165">
            <v>99.264361063978086</v>
          </cell>
          <cell r="CH165">
            <v>90.188501830679769</v>
          </cell>
          <cell r="CI165">
            <v>122.46898604603626</v>
          </cell>
          <cell r="CJ165">
            <v>95.0090028245464</v>
          </cell>
          <cell r="CK165">
            <v>99.901796152446551</v>
          </cell>
          <cell r="CL165">
            <v>130.19615332156971</v>
          </cell>
          <cell r="CM165">
            <v>93.441195110571329</v>
          </cell>
        </row>
        <row r="166">
          <cell r="CA166">
            <v>37409</v>
          </cell>
          <cell r="CB166">
            <v>38.324109302065409</v>
          </cell>
          <cell r="CD166">
            <v>58.804873962621251</v>
          </cell>
          <cell r="CE166">
            <v>85.953882629848707</v>
          </cell>
          <cell r="CF166">
            <v>103.20978607329153</v>
          </cell>
          <cell r="CG166">
            <v>97.387492803939352</v>
          </cell>
          <cell r="CH166">
            <v>96.551364645767705</v>
          </cell>
          <cell r="CI166">
            <v>129.57052122614544</v>
          </cell>
          <cell r="CJ166">
            <v>101.20633662764118</v>
          </cell>
          <cell r="CK166">
            <v>105.36908779179004</v>
          </cell>
          <cell r="CL166">
            <v>131.59739299128421</v>
          </cell>
          <cell r="CM166">
            <v>93.675496498410013</v>
          </cell>
        </row>
        <row r="167">
          <cell r="CA167">
            <v>37440</v>
          </cell>
          <cell r="CB167">
            <v>41.494641007837892</v>
          </cell>
          <cell r="CD167">
            <v>50.613356446540202</v>
          </cell>
          <cell r="CE167">
            <v>86.296525204364059</v>
          </cell>
          <cell r="CF167">
            <v>102.69355831466346</v>
          </cell>
          <cell r="CG167">
            <v>89.012900295713024</v>
          </cell>
          <cell r="CH167">
            <v>95.816773959983067</v>
          </cell>
          <cell r="CI167">
            <v>132.70112078878728</v>
          </cell>
          <cell r="CJ167">
            <v>100.99708673311618</v>
          </cell>
          <cell r="CK167">
            <v>104.41879006037989</v>
          </cell>
          <cell r="CL167">
            <v>132.48336255834587</v>
          </cell>
          <cell r="CM167">
            <v>92.89520929389181</v>
          </cell>
        </row>
        <row r="168">
          <cell r="CA168">
            <v>37469</v>
          </cell>
          <cell r="CB168">
            <v>43.1855812135069</v>
          </cell>
          <cell r="CD168">
            <v>56.911264295209449</v>
          </cell>
          <cell r="CE168">
            <v>85.499516966848418</v>
          </cell>
          <cell r="CF168">
            <v>100.76107925975415</v>
          </cell>
          <cell r="CG168">
            <v>87.221338316775473</v>
          </cell>
          <cell r="CH168">
            <v>96.635366110228347</v>
          </cell>
          <cell r="CI168">
            <v>132.57380492673894</v>
          </cell>
          <cell r="CJ168">
            <v>100.79422332507113</v>
          </cell>
          <cell r="CK168">
            <v>106.87461007247549</v>
          </cell>
          <cell r="CL168">
            <v>133.72639179412238</v>
          </cell>
          <cell r="CM168">
            <v>94.5298351691699</v>
          </cell>
        </row>
        <row r="169">
          <cell r="CA169">
            <v>37500</v>
          </cell>
          <cell r="CB169">
            <v>42.807746838531955</v>
          </cell>
          <cell r="CD169">
            <v>44.155182042089308</v>
          </cell>
          <cell r="CE169">
            <v>82.60967480540782</v>
          </cell>
          <cell r="CF169">
            <v>100.61220994269593</v>
          </cell>
          <cell r="CG169">
            <v>84.252346264446061</v>
          </cell>
          <cell r="CH169">
            <v>97.027115669696258</v>
          </cell>
          <cell r="CI169">
            <v>135.40787090196517</v>
          </cell>
          <cell r="CJ169">
            <v>102.18559690698793</v>
          </cell>
          <cell r="CK169">
            <v>104.29925291938996</v>
          </cell>
          <cell r="CL169">
            <v>134.25240177248529</v>
          </cell>
          <cell r="CM169">
            <v>91.854819941653872</v>
          </cell>
        </row>
        <row r="170">
          <cell r="CA170">
            <v>37530</v>
          </cell>
          <cell r="CB170">
            <v>44.748420698045607</v>
          </cell>
          <cell r="CD170">
            <v>48.081744803791771</v>
          </cell>
          <cell r="CE170">
            <v>85.249917040783558</v>
          </cell>
          <cell r="CF170">
            <v>102.84419142249396</v>
          </cell>
          <cell r="CG170">
            <v>86.308059799574139</v>
          </cell>
          <cell r="CH170">
            <v>97.171393126136905</v>
          </cell>
          <cell r="CI170">
            <v>135.10628132047106</v>
          </cell>
          <cell r="CJ170">
            <v>102.69497149081992</v>
          </cell>
          <cell r="CK170">
            <v>103.17294890153146</v>
          </cell>
          <cell r="CL170">
            <v>134.66702018870433</v>
          </cell>
          <cell r="CM170">
            <v>93.627927323754605</v>
          </cell>
        </row>
        <row r="171">
          <cell r="CA171">
            <v>37561</v>
          </cell>
          <cell r="CB171">
            <v>45.172956824623064</v>
          </cell>
          <cell r="CD171">
            <v>50.480228402222828</v>
          </cell>
          <cell r="CE171">
            <v>88.474877848056977</v>
          </cell>
          <cell r="CF171">
            <v>105.27510084868187</v>
          </cell>
          <cell r="CG171">
            <v>86.692020077895435</v>
          </cell>
          <cell r="CH171">
            <v>97.551460557175986</v>
          </cell>
          <cell r="CI171">
            <v>134.82391416761851</v>
          </cell>
          <cell r="CJ171">
            <v>102.37843374390631</v>
          </cell>
          <cell r="CK171">
            <v>103.53909715354415</v>
          </cell>
          <cell r="CL171">
            <v>134.84752788487836</v>
          </cell>
          <cell r="CM171">
            <v>94.713500101652059</v>
          </cell>
        </row>
        <row r="172">
          <cell r="CA172">
            <v>37591</v>
          </cell>
          <cell r="CB172">
            <v>47.523524649855453</v>
          </cell>
          <cell r="CD172">
            <v>53.278774237282256</v>
          </cell>
          <cell r="CE172">
            <v>86.46956882755758</v>
          </cell>
          <cell r="CF172">
            <v>105.48023477254995</v>
          </cell>
          <cell r="CG172">
            <v>85.335094340135939</v>
          </cell>
          <cell r="CH172">
            <v>103.66975713318023</v>
          </cell>
          <cell r="CI172">
            <v>141.02580259059479</v>
          </cell>
          <cell r="CJ172">
            <v>110.18934011259134</v>
          </cell>
          <cell r="CK172">
            <v>107.33437261146884</v>
          </cell>
          <cell r="CL172">
            <v>135.14185250060552</v>
          </cell>
          <cell r="CM172">
            <v>96.860666587855093</v>
          </cell>
        </row>
        <row r="174">
          <cell r="CA174">
            <v>37622</v>
          </cell>
          <cell r="CB174">
            <v>50.491055526626383</v>
          </cell>
          <cell r="CD174">
            <v>54.863443805518799</v>
          </cell>
          <cell r="CE174">
            <v>85.014043700954304</v>
          </cell>
          <cell r="CF174">
            <v>106.96125212518083</v>
          </cell>
          <cell r="CG174">
            <v>84.213691413619131</v>
          </cell>
          <cell r="CH174">
            <v>107.08583578733979</v>
          </cell>
          <cell r="CI174">
            <v>144.60120762286064</v>
          </cell>
          <cell r="CJ174">
            <v>112.89686202507102</v>
          </cell>
          <cell r="CK174">
            <v>106.59290422662401</v>
          </cell>
          <cell r="CL174">
            <v>136.0957983626291</v>
          </cell>
          <cell r="CM174">
            <v>98.349427534700212</v>
          </cell>
        </row>
        <row r="175">
          <cell r="CA175">
            <v>37653</v>
          </cell>
          <cell r="CB175">
            <v>51.955205829904614</v>
          </cell>
          <cell r="CD175">
            <v>55.51988561204697</v>
          </cell>
          <cell r="CE175">
            <v>84.264423383283329</v>
          </cell>
          <cell r="CF175">
            <v>108.09914080157436</v>
          </cell>
          <cell r="CG175">
            <v>84.948287585700669</v>
          </cell>
          <cell r="CH175">
            <v>107.88501375613981</v>
          </cell>
          <cell r="CI175">
            <v>139.56870971292778</v>
          </cell>
          <cell r="CJ175">
            <v>113.65600940530274</v>
          </cell>
          <cell r="CK175">
            <v>107.97983322662623</v>
          </cell>
          <cell r="CL175">
            <v>137.79592156172959</v>
          </cell>
          <cell r="CM175">
            <v>99.195639514583235</v>
          </cell>
        </row>
        <row r="176">
          <cell r="CA176">
            <v>37681</v>
          </cell>
          <cell r="CB176">
            <v>56.311425635881584</v>
          </cell>
          <cell r="CD176">
            <v>59.447609030068215</v>
          </cell>
          <cell r="CE176">
            <v>88.493647719039458</v>
          </cell>
          <cell r="CF176">
            <v>109.79342107648344</v>
          </cell>
          <cell r="CG176">
            <v>86.096255370878282</v>
          </cell>
          <cell r="CH176">
            <v>109.37772475773946</v>
          </cell>
          <cell r="CI176">
            <v>140.754724398744</v>
          </cell>
          <cell r="CJ176">
            <v>114.51593180140398</v>
          </cell>
          <cell r="CK176">
            <v>108.03736706135652</v>
          </cell>
          <cell r="CL176">
            <v>139.08788300413826</v>
          </cell>
          <cell r="CM176">
            <v>101.81157132671638</v>
          </cell>
        </row>
        <row r="177">
          <cell r="CA177">
            <v>37712</v>
          </cell>
          <cell r="CB177">
            <v>58.882802638061584</v>
          </cell>
          <cell r="CD177">
            <v>70.616371476758644</v>
          </cell>
          <cell r="CE177">
            <v>90.867353645329203</v>
          </cell>
          <cell r="CF177">
            <v>110.03240035570786</v>
          </cell>
          <cell r="CG177">
            <v>89.405718706764404</v>
          </cell>
          <cell r="CH177">
            <v>111.24540515986305</v>
          </cell>
          <cell r="CI177">
            <v>143.14107534562629</v>
          </cell>
          <cell r="CJ177">
            <v>114.29864894744925</v>
          </cell>
          <cell r="CK177">
            <v>107.53460965578574</v>
          </cell>
          <cell r="CL177">
            <v>138.52099028455225</v>
          </cell>
          <cell r="CM177">
            <v>104.51243438348452</v>
          </cell>
        </row>
        <row r="178">
          <cell r="CA178">
            <v>37742</v>
          </cell>
          <cell r="CB178">
            <v>57.714286673462333</v>
          </cell>
          <cell r="CD178">
            <v>69.505925722399283</v>
          </cell>
          <cell r="CE178">
            <v>89.874624295279162</v>
          </cell>
          <cell r="CF178">
            <v>109.20868243599119</v>
          </cell>
          <cell r="CG178">
            <v>90.530954688878865</v>
          </cell>
          <cell r="CH178">
            <v>118.3479733165194</v>
          </cell>
          <cell r="CI178">
            <v>147.83269252848982</v>
          </cell>
          <cell r="CJ178">
            <v>120.30929482360048</v>
          </cell>
          <cell r="CK178">
            <v>108.5470762754687</v>
          </cell>
          <cell r="CL178">
            <v>138.63462021358731</v>
          </cell>
          <cell r="CM178">
            <v>104.96262473948018</v>
          </cell>
        </row>
        <row r="179">
          <cell r="CA179">
            <v>37773</v>
          </cell>
          <cell r="CB179">
            <v>59.60318797453661</v>
          </cell>
          <cell r="CD179">
            <v>71.40897658256111</v>
          </cell>
          <cell r="CE179">
            <v>91.657039847123826</v>
          </cell>
          <cell r="CF179">
            <v>109.46843522298965</v>
          </cell>
          <cell r="CG179">
            <v>92.079961461648622</v>
          </cell>
          <cell r="CH179">
            <v>114.85562823299553</v>
          </cell>
          <cell r="CI179">
            <v>148.29521349745565</v>
          </cell>
          <cell r="CJ179">
            <v>114.65031092763525</v>
          </cell>
          <cell r="CK179">
            <v>107.20280803089008</v>
          </cell>
          <cell r="CL179">
            <v>139.05398591938595</v>
          </cell>
          <cell r="CM179">
            <v>105.49265854382193</v>
          </cell>
        </row>
        <row r="180">
          <cell r="CA180">
            <v>37803</v>
          </cell>
          <cell r="CB180">
            <v>57.969021048579627</v>
          </cell>
          <cell r="CD180">
            <v>69.060684548910245</v>
          </cell>
          <cell r="CE180">
            <v>90.389145565141177</v>
          </cell>
          <cell r="CF180">
            <v>109.20297831884473</v>
          </cell>
          <cell r="CG180">
            <v>88.947932584697213</v>
          </cell>
          <cell r="CH180">
            <v>113.43022888507024</v>
          </cell>
          <cell r="CI180">
            <v>144.55849362298756</v>
          </cell>
          <cell r="CJ180">
            <v>112.60487264520853</v>
          </cell>
          <cell r="CK180">
            <v>106.92638248608355</v>
          </cell>
          <cell r="CL180">
            <v>138.91792385711923</v>
          </cell>
          <cell r="CM180">
            <v>104.0876823528107</v>
          </cell>
        </row>
        <row r="181">
          <cell r="CA181">
            <v>37834</v>
          </cell>
          <cell r="CB181">
            <v>56.112661092151292</v>
          </cell>
          <cell r="CD181">
            <v>69.405426851516197</v>
          </cell>
          <cell r="CE181">
            <v>91.469393685337025</v>
          </cell>
          <cell r="CF181">
            <v>108.8479511422739</v>
          </cell>
          <cell r="CG181">
            <v>90.885076129152893</v>
          </cell>
          <cell r="CH181">
            <v>109.74820413200257</v>
          </cell>
          <cell r="CI181">
            <v>141.84640096817407</v>
          </cell>
          <cell r="CJ181">
            <v>109.82744490411164</v>
          </cell>
          <cell r="CK181">
            <v>110.40606964697311</v>
          </cell>
          <cell r="CL181">
            <v>139.27882133960685</v>
          </cell>
          <cell r="CM181">
            <v>103.8860999227695</v>
          </cell>
        </row>
        <row r="182">
          <cell r="CA182">
            <v>37865</v>
          </cell>
          <cell r="CB182">
            <v>57.67836175129554</v>
          </cell>
          <cell r="CD182">
            <v>70.638277651392741</v>
          </cell>
          <cell r="CE182">
            <v>96.602949281174403</v>
          </cell>
          <cell r="CF182">
            <v>109.33138153677582</v>
          </cell>
          <cell r="CG182">
            <v>90.013909169117454</v>
          </cell>
          <cell r="CH182">
            <v>112.6670900964556</v>
          </cell>
          <cell r="CI182">
            <v>150.07988661369126</v>
          </cell>
          <cell r="CJ182">
            <v>117.11636796108043</v>
          </cell>
          <cell r="CK182">
            <v>114.74955091633146</v>
          </cell>
          <cell r="CL182">
            <v>139.7780332176838</v>
          </cell>
          <cell r="CM182">
            <v>106.13926369489938</v>
          </cell>
        </row>
        <row r="183">
          <cell r="CA183">
            <v>37895</v>
          </cell>
          <cell r="CB183">
            <v>58.054026948872661</v>
          </cell>
          <cell r="CD183">
            <v>72.414678913439673</v>
          </cell>
          <cell r="CE183">
            <v>101.080668244511</v>
          </cell>
          <cell r="CF183">
            <v>108.69466298362886</v>
          </cell>
          <cell r="CG183">
            <v>89.265761507387396</v>
          </cell>
          <cell r="CH183">
            <v>115.53689760631826</v>
          </cell>
          <cell r="CI183">
            <v>151.59365351599249</v>
          </cell>
          <cell r="CJ183">
            <v>115.36571604504309</v>
          </cell>
          <cell r="CK183">
            <v>116.74998445459856</v>
          </cell>
          <cell r="CL183">
            <v>138.25593458384918</v>
          </cell>
          <cell r="CM183">
            <v>106.63768158197543</v>
          </cell>
        </row>
        <row r="184">
          <cell r="CA184">
            <v>37926</v>
          </cell>
          <cell r="CB184">
            <v>56.405981035802057</v>
          </cell>
          <cell r="CD184">
            <v>70.877106510152757</v>
          </cell>
          <cell r="CE184">
            <v>102.45356744148447</v>
          </cell>
          <cell r="CF184">
            <v>109.48554210997857</v>
          </cell>
          <cell r="CG184">
            <v>91.705117030745129</v>
          </cell>
          <cell r="CH184">
            <v>119.81900204097802</v>
          </cell>
          <cell r="CI184">
            <v>155.29955559305571</v>
          </cell>
          <cell r="CJ184">
            <v>119.93467495290227</v>
          </cell>
          <cell r="CK184">
            <v>116.70773601932409</v>
          </cell>
          <cell r="CL184">
            <v>138.94572083327901</v>
          </cell>
          <cell r="CM184">
            <v>107.13578886811062</v>
          </cell>
        </row>
        <row r="185">
          <cell r="CA185">
            <v>37956</v>
          </cell>
          <cell r="CB185">
            <v>57.195890731251133</v>
          </cell>
          <cell r="CD185">
            <v>72.15646981160701</v>
          </cell>
          <cell r="CE185">
            <v>106.85185012291886</v>
          </cell>
          <cell r="CF185">
            <v>110.18661728831533</v>
          </cell>
          <cell r="CG185">
            <v>93.919686967980169</v>
          </cell>
          <cell r="CH185">
            <v>126.69294460257427</v>
          </cell>
          <cell r="CI185">
            <v>161.76018521185949</v>
          </cell>
          <cell r="CJ185">
            <v>125.08072130004655</v>
          </cell>
          <cell r="CK185">
            <v>119.28315630358124</v>
          </cell>
          <cell r="CL185">
            <v>138.43664865465232</v>
          </cell>
          <cell r="CM185">
            <v>108.94529192054337</v>
          </cell>
        </row>
        <row r="187">
          <cell r="CA187">
            <v>37987</v>
          </cell>
          <cell r="CB187">
            <v>57.066228882639301</v>
          </cell>
          <cell r="CD187">
            <v>71.333986779758547</v>
          </cell>
          <cell r="CE187">
            <v>105.3473363648832</v>
          </cell>
          <cell r="CF187">
            <v>109.21414732900494</v>
          </cell>
          <cell r="CG187">
            <v>95.487737690539248</v>
          </cell>
          <cell r="CH187">
            <v>123.96054506019382</v>
          </cell>
          <cell r="CI187">
            <v>162.59240637555658</v>
          </cell>
          <cell r="CJ187">
            <v>121.58720628858622</v>
          </cell>
          <cell r="CK187">
            <v>119.75547377283959</v>
          </cell>
          <cell r="CL187">
            <v>138.61003908179265</v>
          </cell>
          <cell r="CM187">
            <v>108.55288312947272</v>
          </cell>
        </row>
        <row r="188">
          <cell r="CA188">
            <v>38018</v>
          </cell>
          <cell r="CB188">
            <v>57.448564746239569</v>
          </cell>
          <cell r="CD188">
            <v>72.204884532451132</v>
          </cell>
          <cell r="CE188">
            <v>105.71639563467252</v>
          </cell>
          <cell r="CF188">
            <v>111.3295558568461</v>
          </cell>
          <cell r="CG188">
            <v>98.331038710317273</v>
          </cell>
          <cell r="CH188">
            <v>124.33835991324635</v>
          </cell>
          <cell r="CI188">
            <v>166.78731101101704</v>
          </cell>
          <cell r="CJ188">
            <v>120.4514757031265</v>
          </cell>
          <cell r="CK188">
            <v>116.01936339113878</v>
          </cell>
          <cell r="CL188">
            <v>139.27099405000064</v>
          </cell>
          <cell r="CM188">
            <v>109.17955520876507</v>
          </cell>
        </row>
        <row r="189">
          <cell r="CA189">
            <v>38047</v>
          </cell>
          <cell r="CB189">
            <v>59.374355533449389</v>
          </cell>
          <cell r="CD189">
            <v>73.316384678681104</v>
          </cell>
          <cell r="CE189">
            <v>102.62724406963206</v>
          </cell>
          <cell r="CF189">
            <v>113.00087095579737</v>
          </cell>
          <cell r="CG189">
            <v>100.72685577359819</v>
          </cell>
          <cell r="CH189">
            <v>123.78936564919003</v>
          </cell>
          <cell r="CI189">
            <v>167.22274306856215</v>
          </cell>
          <cell r="CJ189">
            <v>121.30836205284309</v>
          </cell>
          <cell r="CK189">
            <v>122.99106769132229</v>
          </cell>
          <cell r="CL189">
            <v>141.07684882918551</v>
          </cell>
          <cell r="CM189">
            <v>110.90651086315417</v>
          </cell>
        </row>
        <row r="190">
          <cell r="CA190">
            <v>38078</v>
          </cell>
          <cell r="CB190">
            <v>59.984623515075519</v>
          </cell>
          <cell r="CD190">
            <v>72.794451548955493</v>
          </cell>
          <cell r="CE190">
            <v>102.04586612232482</v>
          </cell>
          <cell r="CF190">
            <v>112.41618598730179</v>
          </cell>
          <cell r="CG190">
            <v>101.88802525561842</v>
          </cell>
          <cell r="CH190">
            <v>121.39134178386415</v>
          </cell>
          <cell r="CI190">
            <v>162.73486920564943</v>
          </cell>
          <cell r="CJ190">
            <v>120.32605967658397</v>
          </cell>
          <cell r="CK190">
            <v>115.96614590450001</v>
          </cell>
          <cell r="CL190">
            <v>141.67888222404525</v>
          </cell>
          <cell r="CM190">
            <v>110.11636568550259</v>
          </cell>
        </row>
        <row r="191">
          <cell r="CA191">
            <v>38108</v>
          </cell>
          <cell r="CB191">
            <v>58.229973587569006</v>
          </cell>
          <cell r="CD191">
            <v>69.48169757639721</v>
          </cell>
          <cell r="CE191">
            <v>100.99596194982867</v>
          </cell>
          <cell r="CF191">
            <v>112.36175216561759</v>
          </cell>
          <cell r="CG191">
            <v>99.533854136121121</v>
          </cell>
          <cell r="CH191">
            <v>123.8348789147915</v>
          </cell>
          <cell r="CI191">
            <v>168.83706562373021</v>
          </cell>
          <cell r="CJ191">
            <v>124.67030099678141</v>
          </cell>
          <cell r="CK191">
            <v>116.73846408961938</v>
          </cell>
          <cell r="CL191">
            <v>142.112071051529</v>
          </cell>
          <cell r="CM191">
            <v>109.76341255831765</v>
          </cell>
        </row>
        <row r="192">
          <cell r="CA192">
            <v>38139</v>
          </cell>
          <cell r="CB192">
            <v>58.243038957848995</v>
          </cell>
          <cell r="CD192">
            <v>69.043955411507028</v>
          </cell>
          <cell r="CE192">
            <v>100.93910916223638</v>
          </cell>
          <cell r="CF192">
            <v>112.89739762710562</v>
          </cell>
          <cell r="CG192">
            <v>100.60761405425771</v>
          </cell>
          <cell r="CH192">
            <v>122.82924888527589</v>
          </cell>
          <cell r="CI192">
            <v>166.00267224415575</v>
          </cell>
          <cell r="CJ192">
            <v>124.13376885389272</v>
          </cell>
          <cell r="CK192">
            <v>116.97244392778494</v>
          </cell>
          <cell r="CL192">
            <v>141.87650678136981</v>
          </cell>
          <cell r="CM192">
            <v>109.5835556758165</v>
          </cell>
        </row>
        <row r="193">
          <cell r="CA193">
            <v>38169</v>
          </cell>
          <cell r="CB193">
            <v>58.015386556607737</v>
          </cell>
          <cell r="CD193">
            <v>71.191820204301905</v>
          </cell>
          <cell r="CE193">
            <v>100.13272463812154</v>
          </cell>
          <cell r="CF193">
            <v>114.27024875895351</v>
          </cell>
          <cell r="CG193">
            <v>103.42912944174141</v>
          </cell>
          <cell r="CH193">
            <v>122.03311778497105</v>
          </cell>
          <cell r="CI193">
            <v>166.32920327820003</v>
          </cell>
          <cell r="CJ193">
            <v>120.29898260130281</v>
          </cell>
          <cell r="CK193">
            <v>113.58393976374489</v>
          </cell>
          <cell r="CL193">
            <v>141.07995608048861</v>
          </cell>
          <cell r="CM193">
            <v>109.4329076824521</v>
          </cell>
        </row>
        <row r="194">
          <cell r="CA194">
            <v>38200</v>
          </cell>
          <cell r="CB194">
            <v>57.63398975457649</v>
          </cell>
          <cell r="CD194">
            <v>73.711275436608886</v>
          </cell>
          <cell r="CE194">
            <v>102.51657384985549</v>
          </cell>
          <cell r="CF194">
            <v>116.38102596141096</v>
          </cell>
          <cell r="CG194">
            <v>106.60657683948256</v>
          </cell>
          <cell r="CH194">
            <v>122.42643091343477</v>
          </cell>
          <cell r="CI194">
            <v>164.09599001803187</v>
          </cell>
          <cell r="CJ194">
            <v>121.57315330288637</v>
          </cell>
          <cell r="CK194">
            <v>115.1560515118023</v>
          </cell>
          <cell r="CL194">
            <v>141.18831120070277</v>
          </cell>
          <cell r="CM194">
            <v>110.42214581374814</v>
          </cell>
        </row>
        <row r="195">
          <cell r="CA195">
            <v>38231</v>
          </cell>
          <cell r="CB195">
            <v>58.578373297232069</v>
          </cell>
          <cell r="CD195">
            <v>76.015839090539359</v>
          </cell>
          <cell r="CE195">
            <v>106.28677472369985</v>
          </cell>
          <cell r="CF195">
            <v>117.47177704398315</v>
          </cell>
          <cell r="CG195">
            <v>104.79066284884351</v>
          </cell>
          <cell r="CH195">
            <v>125.41479489795391</v>
          </cell>
          <cell r="CI195">
            <v>166.59729280058889</v>
          </cell>
          <cell r="CJ195">
            <v>123.4542949435657</v>
          </cell>
          <cell r="CK195">
            <v>115.16626241660244</v>
          </cell>
          <cell r="CL195">
            <v>141.8815258219939</v>
          </cell>
          <cell r="CM195">
            <v>111.72501055795908</v>
          </cell>
        </row>
        <row r="196">
          <cell r="CA196">
            <v>38261</v>
          </cell>
          <cell r="CB196">
            <v>58.767273475325744</v>
          </cell>
          <cell r="CD196">
            <v>75.916983285613171</v>
          </cell>
          <cell r="CE196">
            <v>104.36779419180367</v>
          </cell>
          <cell r="CF196">
            <v>117.4615396314783</v>
          </cell>
          <cell r="CG196">
            <v>104.77125527380191</v>
          </cell>
          <cell r="CH196">
            <v>128.69280783266333</v>
          </cell>
          <cell r="CI196">
            <v>168.82664896246919</v>
          </cell>
          <cell r="CJ196">
            <v>129.59518097385222</v>
          </cell>
          <cell r="CK196">
            <v>120.20126315825514</v>
          </cell>
          <cell r="CL196">
            <v>142.01736510880571</v>
          </cell>
          <cell r="CM196">
            <v>112.59572262392082</v>
          </cell>
        </row>
        <row r="197">
          <cell r="CA197">
            <v>38292</v>
          </cell>
          <cell r="CB197">
            <v>59.120488109273325</v>
          </cell>
          <cell r="CD197">
            <v>79.428441483027683</v>
          </cell>
          <cell r="CE197">
            <v>109.03020158787615</v>
          </cell>
          <cell r="CF197">
            <v>118.04921493226259</v>
          </cell>
          <cell r="CG197">
            <v>109.23067141109459</v>
          </cell>
          <cell r="CH197">
            <v>133.09570019833123</v>
          </cell>
          <cell r="CI197">
            <v>175.44689187110268</v>
          </cell>
          <cell r="CJ197">
            <v>136.17963831293662</v>
          </cell>
          <cell r="CK197">
            <v>123.26775668963934</v>
          </cell>
          <cell r="CL197">
            <v>141.48692255040666</v>
          </cell>
          <cell r="CM197">
            <v>114.74048373534899</v>
          </cell>
        </row>
        <row r="198">
          <cell r="CA198">
            <v>38322</v>
          </cell>
          <cell r="CB198">
            <v>58.780153258039668</v>
          </cell>
          <cell r="CD198">
            <v>82.088857273615318</v>
          </cell>
          <cell r="CE198">
            <v>114.6048829427053</v>
          </cell>
          <cell r="CF198">
            <v>118.50378986059332</v>
          </cell>
          <cell r="CG198">
            <v>112.85735959149106</v>
          </cell>
          <cell r="CH198">
            <v>137.44321396026814</v>
          </cell>
          <cell r="CI198">
            <v>177.91561807292337</v>
          </cell>
          <cell r="CJ198">
            <v>136.04464855079127</v>
          </cell>
          <cell r="CK198">
            <v>122.53263034566216</v>
          </cell>
          <cell r="CL198">
            <v>140.42851797560658</v>
          </cell>
          <cell r="CM198">
            <v>115.64952319731636</v>
          </cell>
        </row>
        <row r="201">
          <cell r="CA201" t="str">
            <v>Nota:</v>
          </cell>
        </row>
        <row r="202">
          <cell r="CA202" t="str">
            <v>p Preliminar</v>
          </cell>
        </row>
        <row r="203">
          <cell r="CA203" t="str">
            <v xml:space="preserve">Para noviembre de 2004, la inflación de Japón corresponde a Tokio. </v>
          </cell>
        </row>
        <row r="204">
          <cell r="CA204" t="str">
            <v>Espacios en blanco indican información no disponible</v>
          </cell>
        </row>
        <row r="240">
          <cell r="CA240" t="str">
            <v>Elaborado por: María Angélica Aguilar</v>
          </cell>
        </row>
        <row r="241">
          <cell r="CA241" t="str">
            <v>Revisado por: Raúl Mendoza</v>
          </cell>
        </row>
        <row r="242">
          <cell r="CA242" t="str">
            <v>Fecha:</v>
          </cell>
          <cell r="CB242">
            <v>38393.649304861108</v>
          </cell>
        </row>
        <row r="244">
          <cell r="CA244" t="str">
            <v>var.99/98</v>
          </cell>
          <cell r="CB244">
            <v>1.0943955379201231</v>
          </cell>
          <cell r="CD244">
            <v>-25.211411452125343</v>
          </cell>
          <cell r="CE244">
            <v>-5.8638911159564326</v>
          </cell>
          <cell r="CF244">
            <v>-3.8938891213012639</v>
          </cell>
          <cell r="CG244">
            <v>-7.2546248708802885</v>
          </cell>
          <cell r="CH244">
            <v>-10.631528293631687</v>
          </cell>
          <cell r="CI244">
            <v>1.6717318263498537</v>
          </cell>
          <cell r="CJ244">
            <v>-9.6750698008299487</v>
          </cell>
          <cell r="CK244">
            <v>13.32648971153716</v>
          </cell>
          <cell r="CL244">
            <v>5.7186107041549361</v>
          </cell>
          <cell r="CM244">
            <v>-1.9885880848824034</v>
          </cell>
        </row>
        <row r="246">
          <cell r="CA246" t="str">
            <v>var. 00/99</v>
          </cell>
          <cell r="CB246">
            <v>2.3808419307660866</v>
          </cell>
          <cell r="CD246">
            <v>0.44898602948846289</v>
          </cell>
          <cell r="CE246">
            <v>-0.28390595403805508</v>
          </cell>
          <cell r="CF246">
            <v>6.593964492584159</v>
          </cell>
          <cell r="CG246">
            <v>-6.1488018453665028</v>
          </cell>
          <cell r="CH246">
            <v>-1.9142429274353168</v>
          </cell>
          <cell r="CI246">
            <v>-1.7833229568901876</v>
          </cell>
          <cell r="CJ246">
            <v>2.3391212025386521</v>
          </cell>
          <cell r="CK246">
            <v>-8.4358157719005114</v>
          </cell>
          <cell r="CL246">
            <v>6.6344476838727351</v>
          </cell>
          <cell r="CM246">
            <v>1.5986290550289883</v>
          </cell>
        </row>
        <row r="248">
          <cell r="CA248" t="str">
            <v>var. 01/00</v>
          </cell>
          <cell r="CB248">
            <v>-0.95968684692300243</v>
          </cell>
          <cell r="CD248">
            <v>-2.2638141696606051</v>
          </cell>
          <cell r="CE248">
            <v>-6.0313702502303501</v>
          </cell>
          <cell r="CF248">
            <v>8.227244317555682</v>
          </cell>
          <cell r="CG248">
            <v>11.839259733608243</v>
          </cell>
          <cell r="CH248">
            <v>2.2039530996882828</v>
          </cell>
          <cell r="CI248">
            <v>3.4701177924840954</v>
          </cell>
          <cell r="CJ248">
            <v>3.7361094509421156</v>
          </cell>
          <cell r="CK248">
            <v>-8.5194534272780675</v>
          </cell>
          <cell r="CL248">
            <v>7.3887976488334894</v>
          </cell>
          <cell r="CM248">
            <v>2.5667867992063664</v>
          </cell>
        </row>
        <row r="250">
          <cell r="CA250" t="str">
            <v>var. 02/01</v>
          </cell>
          <cell r="CB250">
            <v>-53.121339838388472</v>
          </cell>
          <cell r="CC250" t="e">
            <v>#DIV/0!</v>
          </cell>
          <cell r="CD250">
            <v>-19.667152882124086</v>
          </cell>
          <cell r="CE250">
            <v>1.1757663092397452</v>
          </cell>
          <cell r="CF250">
            <v>6.3305223050684756</v>
          </cell>
          <cell r="CG250">
            <v>-8.5858013422066009</v>
          </cell>
          <cell r="CH250">
            <v>28.390012857006042</v>
          </cell>
          <cell r="CI250">
            <v>22.63576611641458</v>
          </cell>
          <cell r="CJ250">
            <v>30.462007994727959</v>
          </cell>
          <cell r="CK250">
            <v>18.177773318671875</v>
          </cell>
          <cell r="CL250">
            <v>9.7412933007053901</v>
          </cell>
          <cell r="CM250">
            <v>-2.3110870372720083</v>
          </cell>
        </row>
        <row r="252">
          <cell r="CA252" t="str">
            <v>var. 03/02</v>
          </cell>
          <cell r="CB252">
            <v>20.352796120784156</v>
          </cell>
          <cell r="CC252" t="e">
            <v>#DIV/0!</v>
          </cell>
          <cell r="CD252">
            <v>35.431925461068388</v>
          </cell>
          <cell r="CE252">
            <v>23.571623603222491</v>
          </cell>
          <cell r="CF252">
            <v>4.4618620027855327</v>
          </cell>
          <cell r="CG252">
            <v>10.05986188241268</v>
          </cell>
          <cell r="CH252">
            <v>22.208200449256488</v>
          </cell>
          <cell r="CI252">
            <v>14.70254537849196</v>
          </cell>
          <cell r="CJ252">
            <v>13.514357352752281</v>
          </cell>
          <cell r="CK252">
            <v>11.132299375676102</v>
          </cell>
          <cell r="CL252">
            <v>2.4380279632706836</v>
          </cell>
          <cell r="CM252">
            <v>12.476297921950819</v>
          </cell>
        </row>
        <row r="254">
          <cell r="CA254" t="str">
            <v>var. ac. 04</v>
          </cell>
          <cell r="CB254">
            <v>2.7698887219583357</v>
          </cell>
          <cell r="CD254">
            <v>13.765068451852947</v>
          </cell>
          <cell r="CE254">
            <v>7.2558713872222125</v>
          </cell>
          <cell r="CF254">
            <v>7.5482601943529959</v>
          </cell>
          <cell r="CG254">
            <v>20.163687970944011</v>
          </cell>
          <cell r="CH254">
            <v>8.4852944190511934</v>
          </cell>
          <cell r="CI254">
            <v>9.9872739635559213</v>
          </cell>
          <cell r="CJ254">
            <v>8.7654813122193254</v>
          </cell>
          <cell r="CK254">
            <v>2.7241683929044136</v>
          </cell>
          <cell r="CL254">
            <v>1.438830931195989</v>
          </cell>
          <cell r="CM254">
            <v>6.1537595233234654</v>
          </cell>
        </row>
        <row r="256">
          <cell r="CA256">
            <v>38687</v>
          </cell>
          <cell r="CB256">
            <v>60.946624865305346</v>
          </cell>
          <cell r="CD256">
            <v>76.715128123945178</v>
          </cell>
          <cell r="CE256">
            <v>108.77060274221215</v>
          </cell>
          <cell r="CF256">
            <v>116.36674544307223</v>
          </cell>
          <cell r="CG256">
            <v>105.85182160127557</v>
          </cell>
          <cell r="CH256">
            <v>134.91041425232433</v>
          </cell>
          <cell r="CI256">
            <v>174.61542630976223</v>
          </cell>
          <cell r="CJ256">
            <v>136.18018663774009</v>
          </cell>
          <cell r="CK256">
            <v>124.07431691903834</v>
          </cell>
          <cell r="CL256">
            <v>142.6219539383803</v>
          </cell>
          <cell r="CM256">
            <v>114.75402990084291</v>
          </cell>
        </row>
        <row r="257">
          <cell r="CB257">
            <v>3.6857195621029737</v>
          </cell>
          <cell r="CC257" t="e">
            <v>#DIV/0!</v>
          </cell>
          <cell r="CD257">
            <v>-6.5462345659882182</v>
          </cell>
          <cell r="CE257">
            <v>-5.0907780285504023</v>
          </cell>
          <cell r="CF257">
            <v>-1.8033553357534648</v>
          </cell>
          <cell r="CG257">
            <v>-6.2074268045729353</v>
          </cell>
          <cell r="CH257">
            <v>-1.8427972069075649</v>
          </cell>
          <cell r="CI257">
            <v>-1.8549196517466338</v>
          </cell>
          <cell r="CJ257">
            <v>9.9627650475508922E-2</v>
          </cell>
          <cell r="CK257">
            <v>1.2581845089157939</v>
          </cell>
          <cell r="CL257">
            <v>1.5619590624425195</v>
          </cell>
          <cell r="CM257">
            <v>-0.77431646211424399</v>
          </cell>
        </row>
        <row r="258">
          <cell r="CA258">
            <v>39052</v>
          </cell>
          <cell r="CB258">
            <v>62.209534051552176</v>
          </cell>
          <cell r="CD258">
            <v>77.766033875484851</v>
          </cell>
          <cell r="CE258">
            <v>108.57106586379588</v>
          </cell>
          <cell r="CF258">
            <v>112.90244361058173</v>
          </cell>
          <cell r="CG258">
            <v>106.5924121213083</v>
          </cell>
          <cell r="CH258">
            <v>134.76162497905298</v>
          </cell>
          <cell r="CI258">
            <v>172.60560941194169</v>
          </cell>
          <cell r="CJ258">
            <v>136.38986468155628</v>
          </cell>
          <cell r="CK258">
            <v>124.45080997435893</v>
          </cell>
          <cell r="CL258">
            <v>145.467439824698</v>
          </cell>
          <cell r="CM258">
            <v>115.49583084180614</v>
          </cell>
        </row>
        <row r="259">
          <cell r="CB259">
            <v>2.0721560694097807</v>
          </cell>
          <cell r="CD259">
            <v>1.3698807226675935</v>
          </cell>
          <cell r="CE259">
            <v>-0.18344743284099962</v>
          </cell>
          <cell r="CF259">
            <v>-2.9770548444059353</v>
          </cell>
          <cell r="CG259">
            <v>0.69964834693387878</v>
          </cell>
          <cell r="CH259">
            <v>-0.11028746305163928</v>
          </cell>
          <cell r="CI259">
            <v>-1.1509961864739182</v>
          </cell>
          <cell r="CJ259">
            <v>0.15397103572338811</v>
          </cell>
          <cell r="CK259">
            <v>0.30344157007631267</v>
          </cell>
          <cell r="CL259">
            <v>1.9951247390335825</v>
          </cell>
          <cell r="CM259">
            <v>0.64642691991227963</v>
          </cell>
        </row>
        <row r="260">
          <cell r="CA260">
            <v>39052</v>
          </cell>
          <cell r="CB260">
            <v>63.29147695095353</v>
          </cell>
          <cell r="CD260">
            <v>78.447077331018249</v>
          </cell>
          <cell r="CE260">
            <v>108.95158026412454</v>
          </cell>
          <cell r="CF260">
            <v>112.37237439100909</v>
          </cell>
          <cell r="CG260">
            <v>108.55089958479934</v>
          </cell>
          <cell r="CH260">
            <v>135.49835493970465</v>
          </cell>
          <cell r="CI260">
            <v>173.02612589078402</v>
          </cell>
          <cell r="CJ260">
            <v>135.7380640446641</v>
          </cell>
          <cell r="CK260">
            <v>122.29786912165599</v>
          </cell>
          <cell r="CL260">
            <v>149.16853950783019</v>
          </cell>
          <cell r="CM260">
            <v>116.64163032199605</v>
          </cell>
        </row>
        <row r="261">
          <cell r="CA261">
            <v>39417</v>
          </cell>
          <cell r="CB261">
            <v>65.147917276997873</v>
          </cell>
          <cell r="CD261">
            <v>80.229138569822283</v>
          </cell>
          <cell r="CE261">
            <v>109.71406573725542</v>
          </cell>
          <cell r="CF261">
            <v>111.81694056657699</v>
          </cell>
          <cell r="CG261">
            <v>110.92552581825777</v>
          </cell>
          <cell r="CH261">
            <v>135.31151505987961</v>
          </cell>
          <cell r="CI261">
            <v>173.13814935313613</v>
          </cell>
          <cell r="CJ261">
            <v>134.17667314878955</v>
          </cell>
          <cell r="CK261">
            <v>122.24389830562701</v>
          </cell>
          <cell r="CL261">
            <v>152.83027825898776</v>
          </cell>
          <cell r="CM261">
            <v>118.22271107468184</v>
          </cell>
        </row>
        <row r="262">
          <cell r="CA262">
            <v>39783</v>
          </cell>
          <cell r="CB262">
            <v>66.968690899016607</v>
          </cell>
          <cell r="CD262">
            <v>82.91708004501298</v>
          </cell>
          <cell r="CE262">
            <v>111.51167102836604</v>
          </cell>
          <cell r="CF262">
            <v>111.55558966751238</v>
          </cell>
          <cell r="CG262">
            <v>113.67868878666363</v>
          </cell>
          <cell r="CH262">
            <v>135.15352788340789</v>
          </cell>
          <cell r="CI262">
            <v>174.66924553853693</v>
          </cell>
          <cell r="CJ262">
            <v>132.84094023678443</v>
          </cell>
          <cell r="CK262">
            <v>126.60290607868798</v>
          </cell>
          <cell r="CL262">
            <v>156.78868695347293</v>
          </cell>
          <cell r="CM262">
            <v>120.57624860076899</v>
          </cell>
        </row>
        <row r="263">
          <cell r="CA263">
            <v>40148</v>
          </cell>
          <cell r="CB263">
            <v>70.210204657959068</v>
          </cell>
          <cell r="CD263">
            <v>86.64327944863912</v>
          </cell>
          <cell r="CE263">
            <v>114.20656870505337</v>
          </cell>
          <cell r="CF263">
            <v>111.78668010932196</v>
          </cell>
          <cell r="CG263">
            <v>118.13965827797423</v>
          </cell>
          <cell r="CH263">
            <v>135.6550807257637</v>
          </cell>
          <cell r="CI263">
            <v>178.58463482862177</v>
          </cell>
          <cell r="CJ263">
            <v>136.03968329636814</v>
          </cell>
          <cell r="CK263">
            <v>129.09240543542052</v>
          </cell>
          <cell r="CL263">
            <v>160.70506306570761</v>
          </cell>
          <cell r="CM263">
            <v>123.73881276814259</v>
          </cell>
        </row>
        <row r="264">
          <cell r="CA264">
            <v>40513</v>
          </cell>
          <cell r="CB264">
            <v>67.591260940814351</v>
          </cell>
          <cell r="CD264">
            <v>86.753711945826069</v>
          </cell>
          <cell r="CE264">
            <v>112.39195186730559</v>
          </cell>
          <cell r="CF264">
            <v>104.00396882544527</v>
          </cell>
          <cell r="CG264">
            <v>116.22646226629045</v>
          </cell>
          <cell r="CH264">
            <v>135.41682782289809</v>
          </cell>
          <cell r="CI264">
            <v>174.93488605940121</v>
          </cell>
          <cell r="CJ264">
            <v>134.49016813274969</v>
          </cell>
          <cell r="CK264">
            <v>128.79981445977279</v>
          </cell>
          <cell r="CL264">
            <v>161.52449200920685</v>
          </cell>
          <cell r="CM264">
            <v>121.99777896453776</v>
          </cell>
        </row>
        <row r="267">
          <cell r="CA267">
            <v>37622</v>
          </cell>
          <cell r="CB267">
            <v>47.699202709220636</v>
          </cell>
          <cell r="CD267">
            <v>53.475727466915856</v>
          </cell>
          <cell r="CE267">
            <v>86.789216963037674</v>
          </cell>
          <cell r="CF267">
            <v>105.87015877508878</v>
          </cell>
          <cell r="CG267">
            <v>85.650548715203314</v>
          </cell>
          <cell r="CH267">
            <v>104.0529884250973</v>
          </cell>
          <cell r="CI267">
            <v>141.54712628243098</v>
          </cell>
          <cell r="CJ267">
            <v>110.59667205138027</v>
          </cell>
          <cell r="CK267">
            <v>107.73115072131006</v>
          </cell>
          <cell r="CL267">
            <v>135.64142526085939</v>
          </cell>
          <cell r="CM267">
            <v>97.218711554943312</v>
          </cell>
        </row>
        <row r="268">
          <cell r="CA268">
            <v>37653</v>
          </cell>
          <cell r="CB268">
            <v>47.875530189704499</v>
          </cell>
          <cell r="CD268">
            <v>53.673408764625698</v>
          </cell>
          <cell r="CE268">
            <v>87.110046727290765</v>
          </cell>
          <cell r="CF268">
            <v>106.26152419201283</v>
          </cell>
          <cell r="CG268">
            <v>85.967169216159675</v>
          </cell>
          <cell r="CH268">
            <v>104.43763639075956</v>
          </cell>
          <cell r="CI268">
            <v>142.07037712792757</v>
          </cell>
          <cell r="CJ268">
            <v>111.00550975568324</v>
          </cell>
          <cell r="CK268">
            <v>108.12939558280421</v>
          </cell>
          <cell r="CL268">
            <v>136.1428447690908</v>
          </cell>
          <cell r="CM268">
            <v>97.578080033452267</v>
          </cell>
        </row>
        <row r="269">
          <cell r="CA269">
            <v>37681</v>
          </cell>
          <cell r="CB269">
            <v>48.052509491992673</v>
          </cell>
          <cell r="CD269">
            <v>53.871820821828024</v>
          </cell>
          <cell r="CE269">
            <v>87.4320624883904</v>
          </cell>
          <cell r="CF269">
            <v>106.65433635173326</v>
          </cell>
          <cell r="CG269">
            <v>86.284960153769745</v>
          </cell>
          <cell r="CH269">
            <v>104.82370626712067</v>
          </cell>
          <cell r="CI269">
            <v>142.59556225110612</v>
          </cell>
          <cell r="CJ269">
            <v>111.41585879179542</v>
          </cell>
          <cell r="CK269">
            <v>108.52911261802574</v>
          </cell>
          <cell r="CL269">
            <v>136.6461178520893</v>
          </cell>
          <cell r="CM269">
            <v>97.938776915735346</v>
          </cell>
        </row>
        <row r="270">
          <cell r="CA270">
            <v>37712</v>
          </cell>
          <cell r="CB270">
            <v>48.230143025645262</v>
          </cell>
          <cell r="CD270">
            <v>54.070966339888315</v>
          </cell>
          <cell r="CE270">
            <v>87.755268630557325</v>
          </cell>
          <cell r="CF270">
            <v>107.04860060235868</v>
          </cell>
          <cell r="CG270">
            <v>86.603925854733617</v>
          </cell>
          <cell r="CH270">
            <v>105.21120331049347</v>
          </cell>
          <cell r="CI270">
            <v>143.12268880232321</v>
          </cell>
          <cell r="CJ270">
            <v>111.82772474658853</v>
          </cell>
          <cell r="CK270">
            <v>108.93030726909242</v>
          </cell>
          <cell r="CL270">
            <v>137.15125136188072</v>
          </cell>
          <cell r="CM270">
            <v>98.300807112230487</v>
          </cell>
        </row>
        <row r="271">
          <cell r="CA271">
            <v>37742</v>
          </cell>
          <cell r="CB271">
            <v>48.408433209129697</v>
          </cell>
          <cell r="CD271">
            <v>54.270848030158113</v>
          </cell>
          <cell r="CE271">
            <v>88.079669554219308</v>
          </cell>
          <cell r="CF271">
            <v>107.44432231176764</v>
          </cell>
          <cell r="CG271">
            <v>86.924070661745759</v>
          </cell>
          <cell r="CH271">
            <v>105.60013279662152</v>
          </cell>
          <cell r="CI271">
            <v>143.65176395836795</v>
          </cell>
          <cell r="CJ271">
            <v>112.24111322758712</v>
          </cell>
          <cell r="CK271">
            <v>109.33298499823989</v>
          </cell>
          <cell r="CL271">
            <v>137.65825217582042</v>
          </cell>
          <cell r="CM271">
            <v>98.664175551526895</v>
          </cell>
        </row>
        <row r="272">
          <cell r="CA272">
            <v>37773</v>
          </cell>
          <cell r="CB272">
            <v>48.587382469853665</v>
          </cell>
          <cell r="CD272">
            <v>54.471468614011819</v>
          </cell>
          <cell r="CE272">
            <v>88.405269676070901</v>
          </cell>
          <cell r="CF272">
            <v>107.84150686768199</v>
          </cell>
          <cell r="CG272">
            <v>87.245398933554057</v>
          </cell>
          <cell r="CH272">
            <v>105.99050002075106</v>
          </cell>
          <cell r="CI272">
            <v>144.18279492255942</v>
          </cell>
          <cell r="CJ272">
            <v>112.65602986304484</v>
          </cell>
          <cell r="CK272">
            <v>109.73715128789556</v>
          </cell>
          <cell r="CL272">
            <v>138.16712719668701</v>
          </cell>
          <cell r="CM272">
            <v>99.028887180432378</v>
          </cell>
        </row>
        <row r="273">
          <cell r="CA273">
            <v>37803</v>
          </cell>
          <cell r="CB273">
            <v>48.76699324419809</v>
          </cell>
          <cell r="CD273">
            <v>54.672830822883881</v>
          </cell>
          <cell r="CE273">
            <v>88.732073429133735</v>
          </cell>
          <cell r="CF273">
            <v>108.2401596777401</v>
          </cell>
          <cell r="CG273">
            <v>87.567915045019134</v>
          </cell>
          <cell r="CH273">
            <v>106.38231029770296</v>
          </cell>
          <cell r="CI273">
            <v>144.71578892484496</v>
          </cell>
          <cell r="CJ273">
            <v>113.07248030202095</v>
          </cell>
          <cell r="CK273">
            <v>110.14281164075364</v>
          </cell>
          <cell r="CL273">
            <v>138.67788335277632</v>
          </cell>
          <cell r="CM273">
            <v>99.394946964040571</v>
          </cell>
        </row>
        <row r="274">
          <cell r="CA274">
            <v>37834</v>
          </cell>
          <cell r="CB274">
            <v>48.947267977550418</v>
          </cell>
          <cell r="CD274">
            <v>54.874937398305867</v>
          </cell>
          <cell r="CE274">
            <v>89.060085262816756</v>
          </cell>
          <cell r="CF274">
            <v>108.64028616957049</v>
          </cell>
          <cell r="CG274">
            <v>87.891623387174064</v>
          </cell>
          <cell r="CH274">
            <v>106.77556896194515</v>
          </cell>
          <cell r="CI274">
            <v>145.25075322189852</v>
          </cell>
          <cell r="CJ274">
            <v>113.49047021445745</v>
          </cell>
          <cell r="CK274">
            <v>110.54997157984982</v>
          </cell>
          <cell r="CL274">
            <v>139.19052759799558</v>
          </cell>
          <cell r="CM274">
            <v>99.762359885798531</v>
          </cell>
        </row>
        <row r="275">
          <cell r="CA275">
            <v>37865</v>
          </cell>
          <cell r="CB275">
            <v>49.128209124337801</v>
          </cell>
          <cell r="CD275">
            <v>55.077791091943872</v>
          </cell>
          <cell r="CE275">
            <v>89.38930964297677</v>
          </cell>
          <cell r="CF275">
            <v>109.04189179086579</v>
          </cell>
          <cell r="CG275">
            <v>88.216528367283971</v>
          </cell>
          <cell r="CH275">
            <v>107.17028136766535</v>
          </cell>
          <cell r="CI275">
            <v>145.78769509721943</v>
          </cell>
          <cell r="CJ275">
            <v>113.91000529125603</v>
          </cell>
          <cell r="CK275">
            <v>110.95863664863658</v>
          </cell>
          <cell r="CL275">
            <v>139.7050669119584</v>
          </cell>
          <cell r="CM275">
            <v>100.13113094757468</v>
          </cell>
        </row>
        <row r="276">
          <cell r="CA276">
            <v>37895</v>
          </cell>
          <cell r="CB276">
            <v>49.309819148060576</v>
          </cell>
          <cell r="CD276">
            <v>55.281394665635929</v>
          </cell>
          <cell r="CE276">
            <v>89.719751051979429</v>
          </cell>
          <cell r="CF276">
            <v>109.44498200945681</v>
          </cell>
          <cell r="CG276">
            <v>88.542634408906125</v>
          </cell>
          <cell r="CH276">
            <v>107.56645288884373</v>
          </cell>
          <cell r="CI276">
            <v>146.32662186123167</v>
          </cell>
          <cell r="CJ276">
            <v>114.3310912443558</v>
          </cell>
          <cell r="CK276">
            <v>111.36881241105867</v>
          </cell>
          <cell r="CL276">
            <v>140.22150830007942</v>
          </cell>
          <cell r="CM276">
            <v>100.50126516972671</v>
          </cell>
        </row>
        <row r="277">
          <cell r="CA277">
            <v>37926</v>
          </cell>
          <cell r="CB277">
            <v>49.492100521325789</v>
          </cell>
          <cell r="CD277">
            <v>55.485750891429653</v>
          </cell>
          <cell r="CE277">
            <v>90.051413988760061</v>
          </cell>
          <cell r="CF277">
            <v>109.84956231338711</v>
          </cell>
          <cell r="CG277">
            <v>88.8699459519502</v>
          </cell>
          <cell r="CH277">
            <v>107.96408891932626</v>
          </cell>
          <cell r="CI277">
            <v>146.86754085138321</v>
          </cell>
          <cell r="CJ277">
            <v>114.75373380681084</v>
          </cell>
          <cell r="CK277">
            <v>111.78050445162869</v>
          </cell>
          <cell r="CL277">
            <v>140.73985879366998</v>
          </cell>
          <cell r="CM277">
            <v>100.87276759117017</v>
          </cell>
        </row>
        <row r="278">
          <cell r="CA278">
            <v>37956</v>
          </cell>
          <cell r="CB278">
            <v>49.675055725880867</v>
          </cell>
          <cell r="CD278">
            <v>55.690862551619936</v>
          </cell>
          <cell r="CE278">
            <v>90.384302968885066</v>
          </cell>
          <cell r="CF278">
            <v>110.2556382109876</v>
          </cell>
          <cell r="CG278">
            <v>89.198467452738612</v>
          </cell>
          <cell r="CH278">
            <v>108.36319487289808</v>
          </cell>
          <cell r="CI278">
            <v>147.41045943224617</v>
          </cell>
          <cell r="CJ278">
            <v>115.17793873286844</v>
          </cell>
          <cell r="CK278">
            <v>112.19371837550338</v>
          </cell>
          <cell r="CL278">
            <v>141.26012545003371</v>
          </cell>
          <cell r="CM278">
            <v>101.24564326944679</v>
          </cell>
        </row>
        <row r="279">
          <cell r="CA279">
            <v>37956</v>
          </cell>
          <cell r="CB279">
            <v>49.675055725880867</v>
          </cell>
          <cell r="CD279">
            <v>55.690862551619936</v>
          </cell>
          <cell r="CE279">
            <v>90.384302968885066</v>
          </cell>
          <cell r="CF279">
            <v>110.2556382109876</v>
          </cell>
          <cell r="CG279">
            <v>89.198467452738612</v>
          </cell>
          <cell r="CH279">
            <v>108.36319487289808</v>
          </cell>
          <cell r="CI279">
            <v>147.41045943224617</v>
          </cell>
          <cell r="CJ279">
            <v>115.17793873286844</v>
          </cell>
          <cell r="CK279">
            <v>112.19371837550338</v>
          </cell>
          <cell r="CL279">
            <v>141.26012545003371</v>
          </cell>
          <cell r="CM279">
            <v>101.24564326944679</v>
          </cell>
        </row>
        <row r="282">
          <cell r="CB282">
            <v>-11.271569139424479</v>
          </cell>
          <cell r="CD282">
            <v>-21.024265572325241</v>
          </cell>
          <cell r="CE282">
            <v>-18.386299773327082</v>
          </cell>
          <cell r="CF282">
            <v>-6.1111072320846347</v>
          </cell>
          <cell r="CG282">
            <v>-16.653354148536962</v>
          </cell>
          <cell r="CH282">
            <v>-26.547219379426252</v>
          </cell>
          <cell r="CI282">
            <v>-27.204966877516057</v>
          </cell>
          <cell r="CJ282">
            <v>-21.002247904871652</v>
          </cell>
          <cell r="CK282">
            <v>-11.880598543534958</v>
          </cell>
          <cell r="CL282">
            <v>-1.361828488346589</v>
          </cell>
          <cell r="CM282">
            <v>-13.508386631396121</v>
          </cell>
        </row>
        <row r="283">
          <cell r="CB283">
            <v>-9.1475773833971559</v>
          </cell>
          <cell r="CD283">
            <v>-23.61584257894534</v>
          </cell>
          <cell r="CE283">
            <v>-18.715665273540978</v>
          </cell>
          <cell r="CF283">
            <v>-7.0725587822799127</v>
          </cell>
          <cell r="CG283">
            <v>-19.814187100049509</v>
          </cell>
          <cell r="CH283">
            <v>-26.076660253788418</v>
          </cell>
          <cell r="CI283">
            <v>-25.929594289976961</v>
          </cell>
          <cell r="CJ283">
            <v>-19.307612244082932</v>
          </cell>
          <cell r="CK283">
            <v>-10.149865222239796</v>
          </cell>
          <cell r="CL283">
            <v>1.5555329096775665</v>
          </cell>
          <cell r="CM283">
            <v>-12.706888341592119</v>
          </cell>
        </row>
      </sheetData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/>
      <sheetData sheetId="246"/>
      <sheetData sheetId="247" refreshError="1"/>
      <sheetData sheetId="248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H436"/>
  <sheetViews>
    <sheetView showGridLines="0" showZeros="0" tabSelected="1" view="pageBreakPreview" zoomScale="85" zoomScaleNormal="75" zoomScaleSheetLayoutView="85" workbookViewId="0">
      <pane xSplit="3" ySplit="10" topLeftCell="L11" activePane="bottomRight" state="frozen"/>
      <selection pane="topRight" activeCell="D1" sqref="D1"/>
      <selection pane="bottomLeft" activeCell="A11" sqref="A11"/>
      <selection pane="bottomRight" activeCell="B2" sqref="B2"/>
    </sheetView>
  </sheetViews>
  <sheetFormatPr baseColWidth="10" defaultColWidth="12" defaultRowHeight="13.2" x14ac:dyDescent="0.25"/>
  <cols>
    <col min="1" max="1" width="4.109375" style="1" customWidth="1"/>
    <col min="2" max="2" width="8.6640625" style="1" customWidth="1"/>
    <col min="3" max="3" width="4.33203125" style="1" customWidth="1"/>
    <col min="4" max="4" width="15.6640625" style="1" hidden="1" customWidth="1"/>
    <col min="5" max="5" width="12.33203125" style="1" bestFit="1" customWidth="1"/>
    <col min="6" max="6" width="14" style="1" customWidth="1"/>
    <col min="7" max="7" width="9.6640625" style="1" bestFit="1" customWidth="1"/>
    <col min="8" max="8" width="10.33203125" style="1" customWidth="1"/>
    <col min="9" max="9" width="8.33203125" style="1" customWidth="1"/>
    <col min="10" max="10" width="9.33203125" style="1" customWidth="1"/>
    <col min="11" max="11" width="12.77734375" style="1" customWidth="1"/>
    <col min="12" max="12" width="12" style="1"/>
    <col min="13" max="13" width="14.109375" style="1" hidden="1" customWidth="1"/>
    <col min="14" max="14" width="11.33203125" style="1" bestFit="1" customWidth="1"/>
    <col min="15" max="15" width="12.33203125" style="1" hidden="1" customWidth="1"/>
    <col min="16" max="16" width="12.33203125" style="1" customWidth="1"/>
    <col min="17" max="17" width="11.109375" style="1" customWidth="1"/>
    <col min="18" max="18" width="9.44140625" style="1" customWidth="1"/>
    <col min="19" max="19" width="10" style="1" customWidth="1"/>
    <col min="20" max="20" width="10.109375" style="1" hidden="1" customWidth="1"/>
    <col min="21" max="21" width="10.77734375" style="1" customWidth="1"/>
    <col min="22" max="22" width="12" style="1" customWidth="1"/>
    <col min="23" max="23" width="12.77734375" style="1" customWidth="1"/>
    <col min="24" max="24" width="9.6640625" style="1" bestFit="1" customWidth="1"/>
    <col min="25" max="25" width="9.44140625" style="1" bestFit="1" customWidth="1"/>
    <col min="26" max="26" width="9.109375" style="1" customWidth="1"/>
    <col min="27" max="27" width="11.33203125" style="1" customWidth="1"/>
    <col min="28" max="28" width="12" style="1" customWidth="1"/>
    <col min="29" max="29" width="17.77734375" style="1" customWidth="1"/>
    <col min="30" max="30" width="11.109375" style="12" customWidth="1"/>
    <col min="31" max="31" width="12.109375" style="12" customWidth="1"/>
    <col min="32" max="32" width="7" style="1" customWidth="1"/>
    <col min="33" max="16384" width="12" style="1"/>
  </cols>
  <sheetData>
    <row r="1" spans="2:32" s="8" customFormat="1" ht="17.399999999999999" x14ac:dyDescent="0.3">
      <c r="B1" s="7" t="s">
        <v>40</v>
      </c>
      <c r="C1" s="7"/>
      <c r="D1" s="7"/>
      <c r="E1" s="7"/>
      <c r="AD1" s="10"/>
      <c r="AE1" s="10"/>
    </row>
    <row r="2" spans="2:32" s="8" customFormat="1" x14ac:dyDescent="0.25">
      <c r="AD2" s="10"/>
      <c r="AE2" s="10"/>
    </row>
    <row r="3" spans="2:32" s="8" customFormat="1" ht="24.6" x14ac:dyDescent="0.4">
      <c r="B3" s="30" t="s">
        <v>0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1"/>
      <c r="AF3" s="32"/>
    </row>
    <row r="4" spans="2:32" s="8" customFormat="1" ht="27" customHeight="1" x14ac:dyDescent="0.4">
      <c r="B4" s="59" t="s">
        <v>36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</row>
    <row r="5" spans="2:32" s="8" customFormat="1" ht="24.6" x14ac:dyDescent="0.4">
      <c r="B5" s="30" t="s">
        <v>39</v>
      </c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</row>
    <row r="6" spans="2:32" s="8" customFormat="1" x14ac:dyDescent="0.25">
      <c r="AD6" s="10"/>
      <c r="AE6" s="10"/>
    </row>
    <row r="7" spans="2:32" ht="37.5" customHeight="1" x14ac:dyDescent="0.25">
      <c r="B7" s="42" t="s">
        <v>2</v>
      </c>
      <c r="C7" s="43"/>
      <c r="D7" s="48" t="s">
        <v>29</v>
      </c>
      <c r="E7" s="48" t="s">
        <v>9</v>
      </c>
      <c r="F7" s="48" t="s">
        <v>10</v>
      </c>
      <c r="G7" s="48" t="s">
        <v>11</v>
      </c>
      <c r="H7" s="48" t="s">
        <v>34</v>
      </c>
      <c r="I7" s="48" t="s">
        <v>12</v>
      </c>
      <c r="J7" s="48" t="s">
        <v>13</v>
      </c>
      <c r="K7" s="48" t="s">
        <v>14</v>
      </c>
      <c r="L7" s="48" t="s">
        <v>15</v>
      </c>
      <c r="M7" s="48" t="s">
        <v>16</v>
      </c>
      <c r="N7" s="48" t="s">
        <v>17</v>
      </c>
      <c r="O7" s="48" t="s">
        <v>18</v>
      </c>
      <c r="P7" s="48" t="s">
        <v>37</v>
      </c>
      <c r="Q7" s="48" t="s">
        <v>19</v>
      </c>
      <c r="R7" s="48" t="s">
        <v>30</v>
      </c>
      <c r="S7" s="48" t="s">
        <v>31</v>
      </c>
      <c r="T7" s="48" t="s">
        <v>20</v>
      </c>
      <c r="U7" s="48" t="s">
        <v>32</v>
      </c>
      <c r="V7" s="48" t="s">
        <v>35</v>
      </c>
      <c r="W7" s="48" t="s">
        <v>21</v>
      </c>
      <c r="X7" s="48" t="s">
        <v>33</v>
      </c>
      <c r="Y7" s="48" t="s">
        <v>22</v>
      </c>
      <c r="Z7" s="48" t="s">
        <v>23</v>
      </c>
      <c r="AA7" s="48" t="s">
        <v>24</v>
      </c>
      <c r="AB7" s="48" t="s">
        <v>25</v>
      </c>
      <c r="AC7" s="48" t="s">
        <v>26</v>
      </c>
      <c r="AD7" s="48" t="s">
        <v>27</v>
      </c>
      <c r="AE7" s="51" t="s">
        <v>28</v>
      </c>
      <c r="AF7" s="52"/>
    </row>
    <row r="8" spans="2:32" x14ac:dyDescent="0.25">
      <c r="B8" s="44"/>
      <c r="C8" s="45"/>
      <c r="D8" s="49"/>
      <c r="E8" s="49"/>
      <c r="F8" s="49"/>
      <c r="G8" s="49"/>
      <c r="H8" s="49"/>
      <c r="I8" s="49"/>
      <c r="J8" s="57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53"/>
      <c r="AF8" s="54"/>
    </row>
    <row r="9" spans="2:32" x14ac:dyDescent="0.25">
      <c r="B9" s="46"/>
      <c r="C9" s="47"/>
      <c r="D9" s="50"/>
      <c r="E9" s="50"/>
      <c r="F9" s="50"/>
      <c r="G9" s="50"/>
      <c r="H9" s="50"/>
      <c r="I9" s="50"/>
      <c r="J9" s="58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5"/>
      <c r="AF9" s="56"/>
    </row>
    <row r="10" spans="2:32" ht="13.8" hidden="1" x14ac:dyDescent="0.25">
      <c r="B10" s="24"/>
      <c r="C10" s="25"/>
      <c r="D10" s="12"/>
      <c r="E10" s="12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4"/>
      <c r="AF10" s="36"/>
    </row>
    <row r="11" spans="2:32" ht="17.25" customHeight="1" x14ac:dyDescent="0.25">
      <c r="B11" s="4">
        <v>1991</v>
      </c>
      <c r="C11" s="5"/>
      <c r="D11" s="3"/>
      <c r="E11" s="3"/>
      <c r="F11" s="14">
        <v>9.0518800000000006</v>
      </c>
      <c r="G11" s="14">
        <v>11.75202</v>
      </c>
      <c r="H11" s="14"/>
      <c r="I11" s="14">
        <v>6.2709999999999999</v>
      </c>
      <c r="J11" s="14"/>
      <c r="K11" s="14">
        <v>2.4231699999999998</v>
      </c>
      <c r="L11" s="14"/>
      <c r="M11" s="14"/>
      <c r="N11" s="14"/>
      <c r="O11" s="14"/>
      <c r="P11" s="14"/>
      <c r="Q11" s="14">
        <v>27.338760000000001</v>
      </c>
      <c r="S11" s="14">
        <v>8.0874600000000001</v>
      </c>
      <c r="T11" s="14">
        <v>0.52710999999999997</v>
      </c>
      <c r="U11" s="14">
        <v>0.93510000000000004</v>
      </c>
      <c r="V11" s="14">
        <v>0.64686999999999995</v>
      </c>
      <c r="W11" s="14"/>
      <c r="X11" s="14">
        <v>4.4978899999999999</v>
      </c>
      <c r="Y11" s="14">
        <v>7.3559200000000002</v>
      </c>
      <c r="Z11" s="14">
        <v>1.20028</v>
      </c>
      <c r="AA11" s="14">
        <v>1.34762</v>
      </c>
      <c r="AB11" s="14"/>
      <c r="AC11" s="14"/>
      <c r="AD11" s="14">
        <v>18.564889999999998</v>
      </c>
      <c r="AE11" s="11">
        <v>99.999970000000019</v>
      </c>
      <c r="AF11" s="37"/>
    </row>
    <row r="12" spans="2:32" ht="17.25" customHeight="1" x14ac:dyDescent="0.25">
      <c r="B12" s="4">
        <v>1992</v>
      </c>
      <c r="C12" s="5"/>
      <c r="D12" s="3"/>
      <c r="E12" s="3"/>
      <c r="F12" s="14">
        <v>7.9944100000000002</v>
      </c>
      <c r="G12" s="14">
        <v>10.61674</v>
      </c>
      <c r="H12" s="14">
        <v>0.60150000000000003</v>
      </c>
      <c r="I12" s="14">
        <v>5.72492</v>
      </c>
      <c r="J12" s="14"/>
      <c r="K12" s="14">
        <v>2.1319599999999999</v>
      </c>
      <c r="L12" s="14">
        <v>0.55793000000000004</v>
      </c>
      <c r="M12" s="14"/>
      <c r="N12" s="14">
        <v>0.53698000000000001</v>
      </c>
      <c r="O12" s="14"/>
      <c r="P12" s="14"/>
      <c r="Q12" s="14">
        <v>24.757079999999998</v>
      </c>
      <c r="S12" s="14">
        <v>8.2022399999999998</v>
      </c>
      <c r="T12" s="14"/>
      <c r="U12" s="14">
        <v>1.00868</v>
      </c>
      <c r="V12" s="14">
        <v>0.71040999999999999</v>
      </c>
      <c r="W12" s="14"/>
      <c r="X12" s="14">
        <v>5.1135599999999997</v>
      </c>
      <c r="Y12" s="14">
        <v>9.2842599999999997</v>
      </c>
      <c r="Z12" s="14">
        <v>1.5579799999999999</v>
      </c>
      <c r="AA12" s="14">
        <v>0.78171000000000002</v>
      </c>
      <c r="AB12" s="14"/>
      <c r="AC12" s="14"/>
      <c r="AD12" s="14">
        <v>20.419640000000001</v>
      </c>
      <c r="AE12" s="11">
        <v>100</v>
      </c>
      <c r="AF12" s="37"/>
    </row>
    <row r="13" spans="2:32" ht="17.25" customHeight="1" x14ac:dyDescent="0.25">
      <c r="B13" s="4">
        <v>1993</v>
      </c>
      <c r="C13" s="5"/>
      <c r="D13" s="3"/>
      <c r="E13" s="3"/>
      <c r="F13" s="14">
        <v>8.19984</v>
      </c>
      <c r="G13" s="14">
        <v>9.5696499999999993</v>
      </c>
      <c r="H13" s="14"/>
      <c r="I13" s="14">
        <v>5.7550600000000003</v>
      </c>
      <c r="J13" s="14"/>
      <c r="K13" s="14">
        <v>2.9331499999999999</v>
      </c>
      <c r="L13" s="14">
        <v>0.61980999999999997</v>
      </c>
      <c r="M13" s="14"/>
      <c r="N13" s="14">
        <v>0.64968000000000004</v>
      </c>
      <c r="O13" s="14"/>
      <c r="P13" s="14"/>
      <c r="Q13" s="14">
        <v>25.977650000000001</v>
      </c>
      <c r="S13" s="14">
        <v>7.3465000000000007</v>
      </c>
      <c r="T13" s="14"/>
      <c r="U13" s="14">
        <v>1.1488700000000001</v>
      </c>
      <c r="V13" s="14">
        <v>0.66969000000000001</v>
      </c>
      <c r="W13" s="14"/>
      <c r="X13" s="14">
        <v>7.2286299999999999</v>
      </c>
      <c r="Y13" s="14">
        <v>12.39913</v>
      </c>
      <c r="Z13" s="14">
        <v>1.49011</v>
      </c>
      <c r="AA13" s="14">
        <v>0.64800999999999997</v>
      </c>
      <c r="AB13" s="14"/>
      <c r="AC13" s="14"/>
      <c r="AD13" s="14">
        <v>15.36421</v>
      </c>
      <c r="AE13" s="11">
        <v>99.999990000000011</v>
      </c>
      <c r="AF13" s="37"/>
    </row>
    <row r="14" spans="2:32" ht="17.25" customHeight="1" x14ac:dyDescent="0.25">
      <c r="B14" s="4">
        <v>1994</v>
      </c>
      <c r="C14" s="5"/>
      <c r="D14" s="3"/>
      <c r="E14" s="3"/>
      <c r="F14" s="14">
        <v>8.0681700000000003</v>
      </c>
      <c r="G14" s="14">
        <v>10.080170000000001</v>
      </c>
      <c r="H14" s="14">
        <v>0.64776</v>
      </c>
      <c r="I14" s="14">
        <v>5.3117799999999997</v>
      </c>
      <c r="J14" s="14"/>
      <c r="K14" s="14">
        <v>3.8839600000000001</v>
      </c>
      <c r="L14" s="14">
        <v>0.90703999999999996</v>
      </c>
      <c r="M14" s="14"/>
      <c r="N14" s="14">
        <v>0.94067999999999996</v>
      </c>
      <c r="O14" s="14"/>
      <c r="P14" s="14"/>
      <c r="Q14" s="14">
        <v>27.493950000000002</v>
      </c>
      <c r="S14" s="14">
        <v>8.6726600000000005</v>
      </c>
      <c r="T14" s="14"/>
      <c r="U14" s="14">
        <v>1.40265</v>
      </c>
      <c r="V14" s="14">
        <v>0.53507000000000005</v>
      </c>
      <c r="W14" s="14"/>
      <c r="X14" s="14">
        <v>8.7711600000000001</v>
      </c>
      <c r="Y14" s="14">
        <v>7.7264700000000008</v>
      </c>
      <c r="Z14" s="14">
        <v>1.53274</v>
      </c>
      <c r="AA14" s="14">
        <v>1.1396500000000001</v>
      </c>
      <c r="AB14" s="14"/>
      <c r="AC14" s="14">
        <v>0.66044999999999998</v>
      </c>
      <c r="AD14" s="14">
        <v>12.22564</v>
      </c>
      <c r="AE14" s="11">
        <v>100</v>
      </c>
      <c r="AF14" s="37"/>
    </row>
    <row r="15" spans="2:32" ht="17.25" customHeight="1" x14ac:dyDescent="0.25">
      <c r="B15" s="4">
        <v>1995</v>
      </c>
      <c r="C15" s="5"/>
      <c r="D15" s="3"/>
      <c r="E15" s="3"/>
      <c r="F15" s="14">
        <v>7.0724099999999996</v>
      </c>
      <c r="G15" s="14">
        <v>8.2201299999999993</v>
      </c>
      <c r="H15" s="14">
        <v>1.1916199999999999</v>
      </c>
      <c r="I15" s="14">
        <v>5.55525</v>
      </c>
      <c r="J15" s="14"/>
      <c r="K15" s="14">
        <v>3.6662400000000006</v>
      </c>
      <c r="L15" s="14">
        <v>0.79418000000000011</v>
      </c>
      <c r="M15" s="14"/>
      <c r="N15" s="14">
        <v>0.59447000000000005</v>
      </c>
      <c r="O15" s="14"/>
      <c r="P15" s="14"/>
      <c r="Q15" s="14">
        <v>26.200330000000001</v>
      </c>
      <c r="S15" s="14">
        <v>7.7368400000000008</v>
      </c>
      <c r="T15" s="14"/>
      <c r="U15" s="14">
        <v>0.88331000000000004</v>
      </c>
      <c r="V15" s="14"/>
      <c r="W15" s="14"/>
      <c r="X15" s="14">
        <v>9.1802399999999995</v>
      </c>
      <c r="Y15" s="14">
        <v>7.5558500000000004</v>
      </c>
      <c r="Z15" s="14">
        <v>1.65537</v>
      </c>
      <c r="AA15" s="14">
        <v>3.80444</v>
      </c>
      <c r="AB15" s="14"/>
      <c r="AC15" s="14">
        <v>0.73240000000000005</v>
      </c>
      <c r="AD15" s="14">
        <v>15.15692</v>
      </c>
      <c r="AE15" s="11">
        <v>100</v>
      </c>
      <c r="AF15" s="37"/>
    </row>
    <row r="16" spans="2:32" ht="17.25" customHeight="1" x14ac:dyDescent="0.25">
      <c r="B16" s="4">
        <v>1996</v>
      </c>
      <c r="C16" s="5"/>
      <c r="D16" s="3"/>
      <c r="E16" s="3"/>
      <c r="F16" s="14">
        <v>6.8005999999999993</v>
      </c>
      <c r="G16" s="14">
        <v>8.1751500000000004</v>
      </c>
      <c r="H16" s="14">
        <v>1.9181999999999997</v>
      </c>
      <c r="I16" s="14">
        <v>5.6840900000000003</v>
      </c>
      <c r="J16" s="14"/>
      <c r="K16" s="14">
        <v>5.5942800000000004</v>
      </c>
      <c r="L16" s="14">
        <v>0.78205000000000013</v>
      </c>
      <c r="M16" s="14"/>
      <c r="N16" s="14"/>
      <c r="O16" s="14">
        <v>0</v>
      </c>
      <c r="P16" s="14"/>
      <c r="Q16" s="14">
        <v>29.028880000000001</v>
      </c>
      <c r="S16" s="14">
        <v>7.5917700000000004</v>
      </c>
      <c r="T16" s="14">
        <v>0</v>
      </c>
      <c r="U16" s="14">
        <v>1.2681100000000001</v>
      </c>
      <c r="V16" s="14">
        <v>0.67795000000000005</v>
      </c>
      <c r="W16" s="14">
        <v>0</v>
      </c>
      <c r="X16" s="14">
        <v>8.42788</v>
      </c>
      <c r="Y16" s="14">
        <v>5.82097</v>
      </c>
      <c r="Z16" s="14">
        <v>1.80488</v>
      </c>
      <c r="AA16" s="14">
        <v>4.0058699999999998</v>
      </c>
      <c r="AB16" s="14">
        <v>0</v>
      </c>
      <c r="AC16" s="14">
        <v>0.56694999999999995</v>
      </c>
      <c r="AD16" s="14">
        <v>11.852370000000001</v>
      </c>
      <c r="AE16" s="11">
        <f t="shared" ref="AE16:AE27" si="0">SUM(F16:AD16)</f>
        <v>100</v>
      </c>
      <c r="AF16" s="37"/>
    </row>
    <row r="17" spans="2:32" ht="17.25" customHeight="1" x14ac:dyDescent="0.25">
      <c r="B17" s="4">
        <v>1997</v>
      </c>
      <c r="C17" s="5"/>
      <c r="D17" s="3"/>
      <c r="E17" s="3"/>
      <c r="F17" s="14">
        <v>12.452870000000001</v>
      </c>
      <c r="G17" s="14">
        <v>8.8557299999999994</v>
      </c>
      <c r="H17" s="14">
        <v>1.40751</v>
      </c>
      <c r="I17" s="14">
        <v>5.9902100000000003</v>
      </c>
      <c r="J17" s="14"/>
      <c r="K17" s="14">
        <v>4.26722</v>
      </c>
      <c r="L17" s="14">
        <v>0.70116000000000001</v>
      </c>
      <c r="M17" s="14"/>
      <c r="N17" s="14"/>
      <c r="O17" s="14">
        <v>0</v>
      </c>
      <c r="P17" s="14"/>
      <c r="Q17" s="14">
        <v>23.450790000000001</v>
      </c>
      <c r="S17" s="14">
        <v>8.0481200000000008</v>
      </c>
      <c r="T17" s="14">
        <v>0</v>
      </c>
      <c r="U17" s="14">
        <v>1.6168899999999999</v>
      </c>
      <c r="V17" s="14">
        <v>0</v>
      </c>
      <c r="W17" s="14">
        <v>0</v>
      </c>
      <c r="X17" s="14">
        <v>8.4553899999999995</v>
      </c>
      <c r="Y17" s="14">
        <v>5.9327399999999999</v>
      </c>
      <c r="Z17" s="14">
        <v>3.0333199999999998</v>
      </c>
      <c r="AA17" s="14">
        <v>4.1563699999999999</v>
      </c>
      <c r="AB17" s="14">
        <v>0</v>
      </c>
      <c r="AC17" s="14">
        <v>0.82068999999999992</v>
      </c>
      <c r="AD17" s="14">
        <v>10.810980000000001</v>
      </c>
      <c r="AE17" s="11">
        <f t="shared" si="0"/>
        <v>99.999989999999983</v>
      </c>
      <c r="AF17" s="37"/>
    </row>
    <row r="18" spans="2:32" ht="17.25" customHeight="1" x14ac:dyDescent="0.25">
      <c r="B18" s="4">
        <v>1998</v>
      </c>
      <c r="C18" s="5"/>
      <c r="D18" s="3"/>
      <c r="E18" s="3"/>
      <c r="F18" s="14">
        <v>8.7985799999999994</v>
      </c>
      <c r="G18" s="14">
        <v>8.26919</v>
      </c>
      <c r="H18" s="14">
        <v>0.95061999999999991</v>
      </c>
      <c r="I18" s="14">
        <v>5.1558299999999999</v>
      </c>
      <c r="J18" s="14"/>
      <c r="K18" s="14">
        <v>3.8585500000000001</v>
      </c>
      <c r="L18" s="14">
        <v>0.96670999999999996</v>
      </c>
      <c r="M18" s="14">
        <v>0.75161999999999995</v>
      </c>
      <c r="N18" s="14">
        <v>0.71753999999999996</v>
      </c>
      <c r="O18" s="14">
        <v>0</v>
      </c>
      <c r="P18" s="14"/>
      <c r="Q18" s="14">
        <v>24.477599999999999</v>
      </c>
      <c r="S18" s="14">
        <v>14.55716</v>
      </c>
      <c r="T18" s="14"/>
      <c r="U18" s="14">
        <v>1.3091699999999999</v>
      </c>
      <c r="V18" s="14">
        <v>0</v>
      </c>
      <c r="W18" s="14">
        <v>0</v>
      </c>
      <c r="X18" s="14">
        <v>6.7011100000000008</v>
      </c>
      <c r="Y18" s="14">
        <v>6.351329999999999</v>
      </c>
      <c r="Z18" s="14">
        <v>3.1985999999999999</v>
      </c>
      <c r="AA18" s="14">
        <v>2.74071</v>
      </c>
      <c r="AB18" s="14">
        <v>1.6846900000000002</v>
      </c>
      <c r="AC18" s="14">
        <v>0.98407000000000011</v>
      </c>
      <c r="AD18" s="14">
        <v>8.5269200000000005</v>
      </c>
      <c r="AE18" s="11">
        <f t="shared" si="0"/>
        <v>100</v>
      </c>
      <c r="AF18" s="37"/>
    </row>
    <row r="19" spans="2:32" ht="17.25" customHeight="1" x14ac:dyDescent="0.25">
      <c r="B19" s="4">
        <v>1999</v>
      </c>
      <c r="C19" s="5"/>
      <c r="D19" s="3"/>
      <c r="E19" s="3"/>
      <c r="F19" s="14">
        <v>9.4059399999999993</v>
      </c>
      <c r="G19" s="14">
        <v>9.9430599999999991</v>
      </c>
      <c r="H19" s="14">
        <v>0.74590000000000001</v>
      </c>
      <c r="I19" s="14">
        <v>5.2539100000000003</v>
      </c>
      <c r="J19" s="14">
        <v>1.13883</v>
      </c>
      <c r="K19" s="14">
        <v>5.8676199999999996</v>
      </c>
      <c r="L19" s="14">
        <v>1.1533800000000001</v>
      </c>
      <c r="M19" s="14"/>
      <c r="N19" s="14"/>
      <c r="O19" s="14">
        <v>0</v>
      </c>
      <c r="P19" s="14"/>
      <c r="Q19" s="14">
        <v>30.141750000000002</v>
      </c>
      <c r="S19" s="14">
        <v>5.4632500000000004</v>
      </c>
      <c r="T19" s="14"/>
      <c r="U19" s="14">
        <v>1.6629400000000003</v>
      </c>
      <c r="V19" s="14">
        <v>0</v>
      </c>
      <c r="W19" s="14">
        <v>0</v>
      </c>
      <c r="X19" s="14">
        <v>5.28329</v>
      </c>
      <c r="Y19" s="14">
        <v>6.5870300000000004</v>
      </c>
      <c r="Z19" s="14">
        <v>1.24637</v>
      </c>
      <c r="AA19" s="14">
        <v>2.60988</v>
      </c>
      <c r="AB19" s="14">
        <v>2.8643200000000002</v>
      </c>
      <c r="AC19" s="14">
        <v>1.27976</v>
      </c>
      <c r="AD19" s="14">
        <v>9.3527699999999996</v>
      </c>
      <c r="AE19" s="11">
        <f t="shared" si="0"/>
        <v>100</v>
      </c>
      <c r="AF19" s="37"/>
    </row>
    <row r="20" spans="2:32" ht="17.25" customHeight="1" x14ac:dyDescent="0.25">
      <c r="B20" s="4">
        <v>2000</v>
      </c>
      <c r="C20" s="5"/>
      <c r="D20" s="3"/>
      <c r="E20" s="3"/>
      <c r="F20" s="14">
        <v>11.448869999999999</v>
      </c>
      <c r="G20" s="14">
        <v>10.664400000000001</v>
      </c>
      <c r="H20" s="14">
        <v>0.7167</v>
      </c>
      <c r="I20" s="14">
        <v>6.4925899999999999</v>
      </c>
      <c r="J20" s="14">
        <v>2.49071</v>
      </c>
      <c r="K20" s="14">
        <v>8.0698500000000006</v>
      </c>
      <c r="L20" s="14">
        <v>0.90048000000000006</v>
      </c>
      <c r="M20" s="14"/>
      <c r="N20" s="14"/>
      <c r="O20" s="14">
        <v>0</v>
      </c>
      <c r="P20" s="14"/>
      <c r="Q20" s="14">
        <v>21.421679999999999</v>
      </c>
      <c r="S20" s="14">
        <v>3.6170300000000002</v>
      </c>
      <c r="T20" s="14"/>
      <c r="U20" s="14">
        <v>1.8051699999999999</v>
      </c>
      <c r="V20" s="14">
        <v>0</v>
      </c>
      <c r="W20" s="14">
        <v>0.96694999999999998</v>
      </c>
      <c r="X20" s="14">
        <v>5.2869400000000004</v>
      </c>
      <c r="Y20" s="14">
        <v>5.9535499999999999</v>
      </c>
      <c r="Z20" s="14">
        <v>0.81130999999999998</v>
      </c>
      <c r="AA20" s="14">
        <v>5.7642800000000003</v>
      </c>
      <c r="AB20" s="14">
        <v>2.4209200000000002</v>
      </c>
      <c r="AC20" s="14">
        <v>2.1638299999999999</v>
      </c>
      <c r="AD20" s="14">
        <v>9.00474</v>
      </c>
      <c r="AE20" s="11">
        <f t="shared" si="0"/>
        <v>100.00000000000001</v>
      </c>
      <c r="AF20" s="37"/>
    </row>
    <row r="21" spans="2:32" ht="17.25" customHeight="1" x14ac:dyDescent="0.25">
      <c r="B21" s="4">
        <v>2001</v>
      </c>
      <c r="C21" s="5"/>
      <c r="D21" s="3"/>
      <c r="E21" s="3"/>
      <c r="F21" s="14">
        <v>12.908700000000001</v>
      </c>
      <c r="G21" s="14">
        <v>12.719530000000001</v>
      </c>
      <c r="H21" s="14">
        <v>1.0912200000000001</v>
      </c>
      <c r="I21" s="14">
        <v>6.5041900000000004</v>
      </c>
      <c r="J21" s="14">
        <v>3.5355099999999999</v>
      </c>
      <c r="K21" s="14">
        <v>9.1242000000000001</v>
      </c>
      <c r="L21" s="14">
        <v>0.87714000000000003</v>
      </c>
      <c r="M21" s="14"/>
      <c r="N21" s="14">
        <v>0.53447999999999996</v>
      </c>
      <c r="O21" s="14"/>
      <c r="P21" s="14"/>
      <c r="Q21" s="14">
        <v>18.221170000000001</v>
      </c>
      <c r="S21" s="14">
        <v>2.3650000000000002</v>
      </c>
      <c r="T21" s="14"/>
      <c r="U21" s="14">
        <v>1.7778200000000002</v>
      </c>
      <c r="V21" s="14">
        <v>0</v>
      </c>
      <c r="W21" s="14">
        <v>1.0636399999999999</v>
      </c>
      <c r="X21" s="14">
        <v>6.6390000000000002</v>
      </c>
      <c r="Y21" s="14">
        <v>3.3101799999999999</v>
      </c>
      <c r="Z21" s="14">
        <v>0</v>
      </c>
      <c r="AA21" s="14">
        <v>7.3323999999999998</v>
      </c>
      <c r="AB21" s="14">
        <v>0</v>
      </c>
      <c r="AC21" s="14">
        <v>4.3604099999999999</v>
      </c>
      <c r="AD21" s="14">
        <v>7.6354100000000011</v>
      </c>
      <c r="AE21" s="11">
        <f t="shared" si="0"/>
        <v>100.00000000000003</v>
      </c>
      <c r="AF21" s="37"/>
    </row>
    <row r="22" spans="2:32" ht="17.25" customHeight="1" x14ac:dyDescent="0.25">
      <c r="B22" s="4">
        <v>2002</v>
      </c>
      <c r="C22" s="6"/>
      <c r="D22" s="23"/>
      <c r="E22" s="23"/>
      <c r="F22" s="14">
        <v>11.829789999999999</v>
      </c>
      <c r="G22" s="14">
        <v>16.534690000000001</v>
      </c>
      <c r="H22" s="14">
        <v>0.64344999999999997</v>
      </c>
      <c r="I22" s="14">
        <v>5.6026999999999996</v>
      </c>
      <c r="J22" s="14">
        <v>3.7014200000000006</v>
      </c>
      <c r="K22" s="14">
        <v>6.5075099999999999</v>
      </c>
      <c r="L22" s="14">
        <v>0.73655999999999999</v>
      </c>
      <c r="M22" s="14"/>
      <c r="N22" s="14"/>
      <c r="O22" s="14">
        <v>1.5424800000000001</v>
      </c>
      <c r="P22" s="14"/>
      <c r="Q22" s="14">
        <v>17.229050000000001</v>
      </c>
      <c r="S22" s="14">
        <v>3.8388399999999998</v>
      </c>
      <c r="T22" s="14"/>
      <c r="U22" s="14">
        <v>1.8164100000000003</v>
      </c>
      <c r="V22" s="14">
        <v>0</v>
      </c>
      <c r="W22" s="14">
        <v>0.74192000000000002</v>
      </c>
      <c r="X22" s="14">
        <v>5.8256300000000003</v>
      </c>
      <c r="Y22" s="14">
        <v>1.5563800000000001</v>
      </c>
      <c r="Z22" s="14">
        <v>0.55728</v>
      </c>
      <c r="AA22" s="14">
        <v>7.8812800000000003</v>
      </c>
      <c r="AB22" s="14">
        <v>0</v>
      </c>
      <c r="AC22" s="14">
        <v>6.7731000000000003</v>
      </c>
      <c r="AD22" s="14">
        <v>6.6814999999999998</v>
      </c>
      <c r="AE22" s="11">
        <f t="shared" si="0"/>
        <v>99.999990000000011</v>
      </c>
      <c r="AF22" s="37"/>
    </row>
    <row r="23" spans="2:32" ht="17.25" customHeight="1" x14ac:dyDescent="0.25">
      <c r="B23" s="4">
        <v>2003</v>
      </c>
      <c r="C23" s="6"/>
      <c r="D23" s="23"/>
      <c r="E23" s="23"/>
      <c r="F23" s="14">
        <v>11.524559999999999</v>
      </c>
      <c r="G23" s="14">
        <v>16.24953</v>
      </c>
      <c r="H23" s="14">
        <v>0</v>
      </c>
      <c r="I23" s="14">
        <v>6.0450200000000001</v>
      </c>
      <c r="J23" s="14">
        <v>3.54677</v>
      </c>
      <c r="K23" s="14">
        <v>7.3619900000000005</v>
      </c>
      <c r="L23" s="14">
        <v>1.23874</v>
      </c>
      <c r="M23" s="14"/>
      <c r="N23" s="14">
        <v>0.67473000000000005</v>
      </c>
      <c r="O23" s="14"/>
      <c r="P23" s="14"/>
      <c r="Q23" s="14">
        <v>18.688469999999999</v>
      </c>
      <c r="S23" s="14">
        <v>3.6752699999999998</v>
      </c>
      <c r="T23" s="14"/>
      <c r="U23" s="14">
        <v>1.9820899999999999</v>
      </c>
      <c r="V23" s="14">
        <v>0</v>
      </c>
      <c r="W23" s="14">
        <v>0.75353000000000003</v>
      </c>
      <c r="X23" s="14">
        <v>6.7969600000000003</v>
      </c>
      <c r="Y23" s="14">
        <v>1.7187700000000001</v>
      </c>
      <c r="Z23" s="14">
        <v>0</v>
      </c>
      <c r="AA23" s="14">
        <v>6.2081200000000001</v>
      </c>
      <c r="AB23" s="14"/>
      <c r="AC23" s="14">
        <v>6.5163700000000002</v>
      </c>
      <c r="AD23" s="14">
        <v>7.0190699999999993</v>
      </c>
      <c r="AE23" s="11">
        <f t="shared" si="0"/>
        <v>99.999989999999983</v>
      </c>
      <c r="AF23" s="37"/>
    </row>
    <row r="24" spans="2:32" ht="17.25" customHeight="1" x14ac:dyDescent="0.25">
      <c r="B24" s="4">
        <v>2004</v>
      </c>
      <c r="C24" s="6"/>
      <c r="D24" s="23"/>
      <c r="E24" s="23"/>
      <c r="F24" s="14">
        <v>11.09586</v>
      </c>
      <c r="G24" s="14">
        <v>18.428889999999999</v>
      </c>
      <c r="H24" s="14">
        <v>0.69020000000000004</v>
      </c>
      <c r="I24" s="14">
        <v>4.8048999999999999</v>
      </c>
      <c r="J24" s="14">
        <v>3.9610799999999999</v>
      </c>
      <c r="K24" s="14">
        <v>5.4470499999999999</v>
      </c>
      <c r="L24" s="14">
        <v>2.1212</v>
      </c>
      <c r="M24" s="14"/>
      <c r="N24" s="14"/>
      <c r="O24" s="14"/>
      <c r="P24" s="14"/>
      <c r="Q24" s="14">
        <v>17.874320000000001</v>
      </c>
      <c r="S24" s="14">
        <v>5.2706600000000003</v>
      </c>
      <c r="T24" s="14">
        <v>0.68056000000000005</v>
      </c>
      <c r="U24" s="14">
        <v>1.7273099999999999</v>
      </c>
      <c r="V24" s="14">
        <v>0</v>
      </c>
      <c r="W24" s="14">
        <v>1.09613</v>
      </c>
      <c r="X24" s="14">
        <v>7.90679</v>
      </c>
      <c r="Y24" s="14">
        <v>1.9368300000000001</v>
      </c>
      <c r="Z24" s="14">
        <v>0.64327000000000001</v>
      </c>
      <c r="AA24" s="14">
        <v>1.7745400000000002</v>
      </c>
      <c r="AB24" s="14"/>
      <c r="AC24" s="14">
        <v>7.5575000000000001</v>
      </c>
      <c r="AD24" s="14">
        <v>6.9829199999999991</v>
      </c>
      <c r="AE24" s="11">
        <f t="shared" si="0"/>
        <v>100.00001000000002</v>
      </c>
      <c r="AF24" s="37"/>
    </row>
    <row r="25" spans="2:32" ht="17.25" customHeight="1" x14ac:dyDescent="0.25">
      <c r="B25" s="4">
        <v>2005</v>
      </c>
      <c r="C25" s="6"/>
      <c r="D25" s="23"/>
      <c r="E25" s="23"/>
      <c r="F25" s="14">
        <v>12.343719999999999</v>
      </c>
      <c r="G25" s="14">
        <v>17.726949999999999</v>
      </c>
      <c r="H25" s="14">
        <v>0.90100999999999998</v>
      </c>
      <c r="I25" s="14">
        <v>5.0299399999999999</v>
      </c>
      <c r="J25" s="14">
        <v>3.9514599999999995</v>
      </c>
      <c r="K25" s="14">
        <v>5.9942700000000002</v>
      </c>
      <c r="L25" s="14">
        <v>1.9717599999999997</v>
      </c>
      <c r="M25" s="14">
        <v>0</v>
      </c>
      <c r="N25" s="14">
        <v>0</v>
      </c>
      <c r="O25" s="14">
        <v>0</v>
      </c>
      <c r="P25" s="14"/>
      <c r="Q25" s="14">
        <v>17.85718</v>
      </c>
      <c r="S25" s="14">
        <v>6.9896099999999999</v>
      </c>
      <c r="T25" s="14">
        <v>0</v>
      </c>
      <c r="U25" s="14">
        <v>1.7866500000000001</v>
      </c>
      <c r="V25" s="14">
        <v>0</v>
      </c>
      <c r="W25" s="14">
        <v>1.0747500000000001</v>
      </c>
      <c r="X25" s="14">
        <v>6.9588200000000002</v>
      </c>
      <c r="Y25" s="14">
        <v>1.99539</v>
      </c>
      <c r="Z25" s="14">
        <v>0.96853000000000011</v>
      </c>
      <c r="AA25" s="14">
        <v>2.8772899999999999</v>
      </c>
      <c r="AB25" s="14"/>
      <c r="AC25" s="14">
        <v>4.9966499999999998</v>
      </c>
      <c r="AD25" s="14">
        <v>6.5760500000000004</v>
      </c>
      <c r="AE25" s="11">
        <f t="shared" si="0"/>
        <v>100.00003</v>
      </c>
      <c r="AF25" s="37"/>
    </row>
    <row r="26" spans="2:32" ht="17.25" customHeight="1" x14ac:dyDescent="0.25">
      <c r="B26" s="4">
        <v>2006</v>
      </c>
      <c r="C26" s="6"/>
      <c r="D26" s="23"/>
      <c r="E26" s="23"/>
      <c r="F26" s="14">
        <v>10.667809999999999</v>
      </c>
      <c r="G26" s="14">
        <v>14.87311</v>
      </c>
      <c r="H26" s="14">
        <v>1.4162600000000001</v>
      </c>
      <c r="I26" s="14">
        <v>5.8505700000000003</v>
      </c>
      <c r="J26" s="14">
        <v>4.5170399999999997</v>
      </c>
      <c r="K26" s="14">
        <v>4.3443500000000004</v>
      </c>
      <c r="L26" s="14">
        <v>1.4109700000000001</v>
      </c>
      <c r="M26" s="14">
        <v>0</v>
      </c>
      <c r="N26" s="14">
        <v>0</v>
      </c>
      <c r="O26" s="14">
        <v>0</v>
      </c>
      <c r="P26" s="14"/>
      <c r="Q26" s="14">
        <v>13.90352</v>
      </c>
      <c r="S26" s="14">
        <v>11.919600000000001</v>
      </c>
      <c r="T26" s="14">
        <v>0</v>
      </c>
      <c r="U26" s="14">
        <v>1.38506</v>
      </c>
      <c r="V26" s="14">
        <v>1.01725</v>
      </c>
      <c r="W26" s="14">
        <v>1.03078</v>
      </c>
      <c r="X26" s="14">
        <v>8.3637800000000002</v>
      </c>
      <c r="Y26" s="14">
        <v>1.9281699999999999</v>
      </c>
      <c r="Z26" s="14">
        <v>0.82643</v>
      </c>
      <c r="AA26" s="14">
        <v>4.4221399999999997</v>
      </c>
      <c r="AB26" s="14"/>
      <c r="AC26" s="14">
        <v>5.0926499999999999</v>
      </c>
      <c r="AD26" s="14">
        <v>7.0305099999999996</v>
      </c>
      <c r="AE26" s="11">
        <f t="shared" si="0"/>
        <v>100</v>
      </c>
      <c r="AF26" s="37"/>
    </row>
    <row r="27" spans="2:32" ht="17.25" customHeight="1" x14ac:dyDescent="0.25">
      <c r="B27" s="4">
        <v>2007</v>
      </c>
      <c r="C27" s="6"/>
      <c r="D27" s="23"/>
      <c r="E27" s="23"/>
      <c r="F27" s="14">
        <v>11.236079999999999</v>
      </c>
      <c r="G27" s="14">
        <v>13.40081</v>
      </c>
      <c r="H27" s="14">
        <v>2.0842299999999998</v>
      </c>
      <c r="I27" s="14">
        <v>4.5271800000000004</v>
      </c>
      <c r="J27" s="14">
        <v>5.32979</v>
      </c>
      <c r="K27" s="14">
        <v>3.7132200000000006</v>
      </c>
      <c r="L27" s="14">
        <v>3.6078299999999999</v>
      </c>
      <c r="M27" s="14">
        <v>0</v>
      </c>
      <c r="N27" s="14">
        <v>0.53297000000000005</v>
      </c>
      <c r="O27" s="14">
        <v>0</v>
      </c>
      <c r="P27" s="14"/>
      <c r="Q27" s="14">
        <v>13.293800000000001</v>
      </c>
      <c r="S27" s="14">
        <v>12.167339999999999</v>
      </c>
      <c r="T27" s="14">
        <v>0</v>
      </c>
      <c r="U27" s="14">
        <v>1.51498</v>
      </c>
      <c r="V27" s="14">
        <v>1.1442300000000001</v>
      </c>
      <c r="W27" s="14">
        <v>1.1669099999999999</v>
      </c>
      <c r="X27" s="14">
        <v>7.4518700000000004</v>
      </c>
      <c r="Y27" s="14">
        <v>2.0464199999999999</v>
      </c>
      <c r="Z27" s="14">
        <v>0.93374999999999997</v>
      </c>
      <c r="AA27" s="14">
        <v>2.77881</v>
      </c>
      <c r="AB27" s="14"/>
      <c r="AC27" s="14">
        <v>4.78308</v>
      </c>
      <c r="AD27" s="14">
        <v>8.2866999999999997</v>
      </c>
      <c r="AE27" s="11">
        <f t="shared" si="0"/>
        <v>99.999999999999986</v>
      </c>
      <c r="AF27" s="37"/>
    </row>
    <row r="28" spans="2:32" ht="17.25" customHeight="1" x14ac:dyDescent="0.25">
      <c r="B28" s="4">
        <v>2008</v>
      </c>
      <c r="C28" s="6"/>
      <c r="D28" s="14">
        <v>0.78288813943221891</v>
      </c>
      <c r="E28" s="14"/>
      <c r="F28" s="14">
        <v>10.710779050483426</v>
      </c>
      <c r="G28" s="14">
        <v>12.811105063546604</v>
      </c>
      <c r="H28" s="14">
        <v>1.6110355373287513</v>
      </c>
      <c r="I28" s="14">
        <v>5.011765945866788</v>
      </c>
      <c r="J28" s="14">
        <v>6.7150088744658456</v>
      </c>
      <c r="K28" s="14">
        <v>3.8329310142565141</v>
      </c>
      <c r="L28" s="14">
        <v>9.8627914924543987</v>
      </c>
      <c r="M28" s="14"/>
      <c r="N28" s="14"/>
      <c r="O28" s="14"/>
      <c r="P28" s="14"/>
      <c r="Q28" s="14">
        <v>12.147496462131192</v>
      </c>
      <c r="S28" s="14">
        <v>8.3698564859214777</v>
      </c>
      <c r="T28" s="14"/>
      <c r="U28" s="14">
        <v>1.7225313782924134</v>
      </c>
      <c r="V28" s="14">
        <v>0</v>
      </c>
      <c r="W28" s="14">
        <v>1.1826505900211932</v>
      </c>
      <c r="X28" s="14">
        <v>7.3674636501556865</v>
      </c>
      <c r="Y28" s="14">
        <v>1.3176402035529353</v>
      </c>
      <c r="Z28" s="14">
        <v>1.1589540663920452</v>
      </c>
      <c r="AA28" s="14">
        <v>2.0327281667822952</v>
      </c>
      <c r="AB28" s="14"/>
      <c r="AC28" s="14">
        <v>5.8811168329379377</v>
      </c>
      <c r="AD28" s="14">
        <v>7.4812570459782641</v>
      </c>
      <c r="AE28" s="11">
        <f t="shared" ref="AE28:AE32" si="1">SUM(D28:AD28)</f>
        <v>99.999999999999986</v>
      </c>
      <c r="AF28" s="37"/>
    </row>
    <row r="29" spans="2:32" ht="17.25" customHeight="1" x14ac:dyDescent="0.25">
      <c r="B29" s="4">
        <v>2009</v>
      </c>
      <c r="C29" s="6"/>
      <c r="D29" s="14">
        <v>0</v>
      </c>
      <c r="E29" s="14">
        <v>0.57791245991038664</v>
      </c>
      <c r="F29" s="14">
        <v>9.4016935600551594</v>
      </c>
      <c r="G29" s="14">
        <v>11.728297884278145</v>
      </c>
      <c r="H29" s="14">
        <v>1.7410502843348805</v>
      </c>
      <c r="I29" s="14">
        <v>4.3280383818989936</v>
      </c>
      <c r="J29" s="14">
        <v>6.8177926447708339</v>
      </c>
      <c r="K29" s="14">
        <v>5.2958457432889672</v>
      </c>
      <c r="L29" s="14">
        <v>7.0160713940094617</v>
      </c>
      <c r="M29" s="14">
        <v>0</v>
      </c>
      <c r="N29" s="14">
        <v>0.60888376749261008</v>
      </c>
      <c r="O29" s="14">
        <v>0</v>
      </c>
      <c r="P29" s="14"/>
      <c r="Q29" s="14">
        <v>14.490281275657185</v>
      </c>
      <c r="R29" s="1">
        <v>0</v>
      </c>
      <c r="S29" s="14">
        <v>8.2831408004545644</v>
      </c>
      <c r="T29" s="14">
        <v>0</v>
      </c>
      <c r="U29" s="14">
        <v>1.6680285546816336</v>
      </c>
      <c r="V29" s="14">
        <v>0.85126765346776578</v>
      </c>
      <c r="W29" s="14">
        <v>0.62726313365234787</v>
      </c>
      <c r="X29" s="14">
        <v>8.2887393062007284</v>
      </c>
      <c r="Y29" s="14">
        <v>1.3763316276765016</v>
      </c>
      <c r="Z29" s="14">
        <v>1.130562926013567</v>
      </c>
      <c r="AA29" s="14">
        <v>2.4147792261550696</v>
      </c>
      <c r="AB29" s="14"/>
      <c r="AC29" s="14">
        <v>4.1706700330769859</v>
      </c>
      <c r="AD29" s="14">
        <v>9.1833493429241742</v>
      </c>
      <c r="AE29" s="11">
        <f t="shared" si="1"/>
        <v>99.999999999999986</v>
      </c>
      <c r="AF29" s="37"/>
    </row>
    <row r="30" spans="2:32" ht="17.25" customHeight="1" x14ac:dyDescent="0.25">
      <c r="B30" s="4">
        <v>2010</v>
      </c>
      <c r="C30" s="6"/>
      <c r="D30" s="14">
        <v>0</v>
      </c>
      <c r="E30" s="14">
        <v>0.77652941191789981</v>
      </c>
      <c r="F30" s="14">
        <v>8.6943005809573073</v>
      </c>
      <c r="G30" s="14">
        <v>12.397600926395134</v>
      </c>
      <c r="H30" s="14">
        <v>1.690376445778186</v>
      </c>
      <c r="I30" s="14">
        <v>4.4735446924804769</v>
      </c>
      <c r="J30" s="14">
        <v>8.3073918507166091</v>
      </c>
      <c r="K30" s="14">
        <v>3.9408014672523044</v>
      </c>
      <c r="L30" s="14">
        <v>4.5670328148043797</v>
      </c>
      <c r="M30" s="14">
        <v>0</v>
      </c>
      <c r="N30" s="14">
        <v>0.62231463563170097</v>
      </c>
      <c r="O30" s="14">
        <v>0</v>
      </c>
      <c r="P30" s="14"/>
      <c r="Q30" s="14">
        <v>15.31998296182768</v>
      </c>
      <c r="R30" s="14">
        <v>0.67528144867932494</v>
      </c>
      <c r="S30" s="14">
        <v>8.6665349707136237</v>
      </c>
      <c r="T30" s="14"/>
      <c r="U30" s="14">
        <v>1.781382998873049</v>
      </c>
      <c r="V30" s="14">
        <v>0</v>
      </c>
      <c r="W30" s="14">
        <v>0.57597364561756514</v>
      </c>
      <c r="X30" s="14">
        <v>8.8475525939187261</v>
      </c>
      <c r="Y30" s="14">
        <v>1.4910586248844526</v>
      </c>
      <c r="Z30" s="14">
        <v>0.64856756379446323</v>
      </c>
      <c r="AA30" s="14">
        <v>2.0306838535168836</v>
      </c>
      <c r="AB30" s="14"/>
      <c r="AC30" s="14">
        <v>3.8690781670354739</v>
      </c>
      <c r="AD30" s="14">
        <v>10.624010345204789</v>
      </c>
      <c r="AE30" s="11">
        <f t="shared" si="1"/>
        <v>100.00000000000003</v>
      </c>
      <c r="AF30" s="37"/>
    </row>
    <row r="31" spans="2:32" ht="17.25" customHeight="1" x14ac:dyDescent="0.25">
      <c r="B31" s="4">
        <v>2011</v>
      </c>
      <c r="C31" s="6"/>
      <c r="D31" s="14">
        <v>0</v>
      </c>
      <c r="E31" s="14">
        <v>1.0702746793998841</v>
      </c>
      <c r="F31" s="14">
        <v>8.657707504960241</v>
      </c>
      <c r="G31" s="14">
        <v>12.682098408466002</v>
      </c>
      <c r="H31" s="14">
        <v>1.9231961514840732</v>
      </c>
      <c r="I31" s="14">
        <v>3.8822960094102861</v>
      </c>
      <c r="J31" s="14">
        <v>10.659810247796321</v>
      </c>
      <c r="K31" s="14">
        <v>3.6338902789997136</v>
      </c>
      <c r="L31" s="14">
        <v>4.0408404174295498</v>
      </c>
      <c r="M31" s="14"/>
      <c r="N31" s="14">
        <v>0.87849781872546617</v>
      </c>
      <c r="O31" s="14"/>
      <c r="P31" s="14"/>
      <c r="Q31" s="14">
        <v>14.644637747209369</v>
      </c>
      <c r="R31" s="14">
        <v>0.72311415625195086</v>
      </c>
      <c r="S31" s="14">
        <v>9.4034219140250315</v>
      </c>
      <c r="T31" s="14"/>
      <c r="U31" s="14">
        <v>2.014485730218865</v>
      </c>
      <c r="V31" s="14"/>
      <c r="W31" s="14">
        <v>0.69549402275758376</v>
      </c>
      <c r="X31" s="14">
        <v>7.8171476979275596</v>
      </c>
      <c r="Y31" s="14">
        <v>1.6728791380828893</v>
      </c>
      <c r="Z31" s="14">
        <v>1.3648860544889678</v>
      </c>
      <c r="AA31" s="14">
        <v>2.7270626111022609</v>
      </c>
      <c r="AB31" s="14"/>
      <c r="AC31" s="14">
        <v>2.5263837757733585</v>
      </c>
      <c r="AD31" s="14">
        <v>8.9818756354906082</v>
      </c>
      <c r="AE31" s="11">
        <f t="shared" si="1"/>
        <v>99.999999999999972</v>
      </c>
      <c r="AF31" s="37"/>
    </row>
    <row r="32" spans="2:32" ht="17.25" customHeight="1" x14ac:dyDescent="0.25">
      <c r="B32" s="4">
        <v>2012</v>
      </c>
      <c r="C32" s="6"/>
      <c r="D32" s="14"/>
      <c r="E32" s="14">
        <v>0.8668915328740624</v>
      </c>
      <c r="F32" s="14">
        <v>8.5296160664584253</v>
      </c>
      <c r="G32" s="14">
        <v>12.040664228515469</v>
      </c>
      <c r="H32" s="14">
        <v>1.4793268859709043</v>
      </c>
      <c r="I32" s="14">
        <v>4.3725075721065005</v>
      </c>
      <c r="J32" s="14">
        <v>10.32966649428273</v>
      </c>
      <c r="K32" s="14">
        <v>4.1966557947210648</v>
      </c>
      <c r="L32" s="14">
        <v>3.148635092251312</v>
      </c>
      <c r="M32" s="14"/>
      <c r="N32" s="14">
        <v>1.8628619783313274</v>
      </c>
      <c r="O32" s="14"/>
      <c r="P32" s="14"/>
      <c r="Q32" s="14">
        <v>19.68151289314347</v>
      </c>
      <c r="R32" s="14">
        <v>0.64649655837975617</v>
      </c>
      <c r="S32" s="14">
        <v>5.9799455419686867</v>
      </c>
      <c r="T32" s="14"/>
      <c r="U32" s="14">
        <v>1.9868858300209169</v>
      </c>
      <c r="V32" s="14"/>
      <c r="W32" s="14">
        <v>0.81736487349460385</v>
      </c>
      <c r="X32" s="14">
        <v>8.7816978788961908</v>
      </c>
      <c r="Y32" s="14">
        <v>1.2964370726699055</v>
      </c>
      <c r="Z32" s="14">
        <v>0.64003169707620677</v>
      </c>
      <c r="AA32" s="14">
        <v>2.3494346777558754</v>
      </c>
      <c r="AB32" s="14"/>
      <c r="AC32" s="14">
        <v>2.4274256016046873</v>
      </c>
      <c r="AD32" s="14">
        <v>8.565941729477867</v>
      </c>
      <c r="AE32" s="11">
        <f t="shared" si="1"/>
        <v>99.999999999999972</v>
      </c>
      <c r="AF32" s="37"/>
    </row>
    <row r="33" spans="2:34" ht="17.25" customHeight="1" x14ac:dyDescent="0.25">
      <c r="B33" s="4">
        <v>2013</v>
      </c>
      <c r="C33" s="6"/>
      <c r="D33" s="14">
        <v>0</v>
      </c>
      <c r="E33" s="14">
        <v>1.2356388266207905</v>
      </c>
      <c r="F33" s="14">
        <v>5.9866155987137102</v>
      </c>
      <c r="G33" s="14">
        <v>11.849581822470128</v>
      </c>
      <c r="H33" s="14">
        <v>1.6425003060061747</v>
      </c>
      <c r="I33" s="14">
        <v>2.859138816016694</v>
      </c>
      <c r="J33" s="14">
        <v>13.05789674515859</v>
      </c>
      <c r="K33" s="14">
        <v>6.113671595032236</v>
      </c>
      <c r="L33" s="14">
        <v>3.7359242238691408</v>
      </c>
      <c r="M33" s="14">
        <v>0</v>
      </c>
      <c r="N33" s="14">
        <v>1.3778018852785499</v>
      </c>
      <c r="O33" s="14">
        <v>0</v>
      </c>
      <c r="P33" s="14"/>
      <c r="Q33" s="14">
        <v>16.610738112550788</v>
      </c>
      <c r="R33" s="14">
        <v>0.84047755088167519</v>
      </c>
      <c r="S33" s="14">
        <v>6.657938907965649</v>
      </c>
      <c r="T33" s="14"/>
      <c r="U33" s="14">
        <v>2.232985645259725</v>
      </c>
      <c r="V33" s="14">
        <v>0</v>
      </c>
      <c r="W33" s="14">
        <v>0.69971316955046936</v>
      </c>
      <c r="X33" s="14">
        <v>8.926685780828425</v>
      </c>
      <c r="Y33" s="14">
        <v>1.2899852768139759</v>
      </c>
      <c r="Z33" s="14">
        <v>1.587215712815506</v>
      </c>
      <c r="AA33" s="14">
        <v>1.3816364670833696</v>
      </c>
      <c r="AB33" s="14"/>
      <c r="AC33" s="14">
        <v>1.1868685141989472</v>
      </c>
      <c r="AD33" s="14">
        <v>10.726985042885472</v>
      </c>
      <c r="AE33" s="11">
        <f t="shared" ref="AE33:AE36" si="2">+SUM(D33:AD33)</f>
        <v>100.00000000000001</v>
      </c>
      <c r="AF33" s="37"/>
    </row>
    <row r="34" spans="2:34" ht="17.25" customHeight="1" x14ac:dyDescent="0.25">
      <c r="B34" s="4">
        <v>2014</v>
      </c>
      <c r="C34" s="6"/>
      <c r="D34" s="14">
        <v>0</v>
      </c>
      <c r="E34" s="14">
        <v>0.86172393611601195</v>
      </c>
      <c r="F34" s="14">
        <v>5.3000126049115623</v>
      </c>
      <c r="G34" s="14">
        <v>11.035002010035276</v>
      </c>
      <c r="H34" s="14">
        <v>1.9165235481546541</v>
      </c>
      <c r="I34" s="14">
        <v>2.3791091100102522</v>
      </c>
      <c r="J34" s="14">
        <v>15.147279554951625</v>
      </c>
      <c r="K34" s="14">
        <v>5.3978415072110542</v>
      </c>
      <c r="L34" s="14">
        <v>4.0287576737677924</v>
      </c>
      <c r="M34" s="14">
        <v>0</v>
      </c>
      <c r="N34" s="14">
        <v>0.96617523251761384</v>
      </c>
      <c r="O34" s="14">
        <v>0</v>
      </c>
      <c r="P34" s="14">
        <v>0</v>
      </c>
      <c r="Q34" s="14">
        <v>20.411906077913848</v>
      </c>
      <c r="R34" s="14">
        <v>1.1586319967319629</v>
      </c>
      <c r="S34" s="14">
        <v>6.2036089763450954</v>
      </c>
      <c r="T34" s="14">
        <v>0</v>
      </c>
      <c r="U34" s="14">
        <v>2.2361614579062024</v>
      </c>
      <c r="V34" s="14">
        <v>0</v>
      </c>
      <c r="W34" s="14">
        <v>0.78948043678586488</v>
      </c>
      <c r="X34" s="14">
        <v>7.4293152729847094</v>
      </c>
      <c r="Y34" s="14">
        <v>1.0610287948894344</v>
      </c>
      <c r="Z34" s="14">
        <v>1.2853382956821744</v>
      </c>
      <c r="AA34" s="14">
        <v>0.83979444551835036</v>
      </c>
      <c r="AB34" s="14">
        <v>0</v>
      </c>
      <c r="AC34" s="14">
        <v>0.89729044246741985</v>
      </c>
      <c r="AD34" s="14">
        <v>10.655018625099133</v>
      </c>
      <c r="AE34" s="11">
        <f t="shared" si="2"/>
        <v>100.00000000000006</v>
      </c>
      <c r="AF34" s="37"/>
    </row>
    <row r="35" spans="2:34" ht="17.25" customHeight="1" x14ac:dyDescent="0.25">
      <c r="B35" s="4">
        <v>2015</v>
      </c>
      <c r="C35" s="6"/>
      <c r="D35" s="14">
        <v>0</v>
      </c>
      <c r="E35" s="14">
        <v>0.73312301912148448</v>
      </c>
      <c r="F35" s="14">
        <v>6.1563184149453019</v>
      </c>
      <c r="G35" s="14">
        <v>12.399886152762848</v>
      </c>
      <c r="H35" s="14">
        <v>1.2539883070734141</v>
      </c>
      <c r="I35" s="14">
        <v>2.7370048111689287</v>
      </c>
      <c r="J35" s="14">
        <v>16.976713759296391</v>
      </c>
      <c r="K35" s="14">
        <v>5.8280253662090278</v>
      </c>
      <c r="L35" s="14">
        <v>2.9606797969413918</v>
      </c>
      <c r="M35" s="14">
        <v>0</v>
      </c>
      <c r="N35" s="14">
        <v>1.342076584121324</v>
      </c>
      <c r="O35" s="14">
        <v>0</v>
      </c>
      <c r="P35" s="14">
        <v>0</v>
      </c>
      <c r="Q35" s="14">
        <v>15.509430824346905</v>
      </c>
      <c r="R35" s="14">
        <v>2.5585587335877982</v>
      </c>
      <c r="S35" s="14">
        <v>7.2242981281448495</v>
      </c>
      <c r="T35" s="14">
        <v>0</v>
      </c>
      <c r="U35" s="14">
        <v>2.3698101565439158</v>
      </c>
      <c r="V35" s="14">
        <v>0</v>
      </c>
      <c r="W35" s="14">
        <v>0.67029772096175766</v>
      </c>
      <c r="X35" s="14">
        <v>6.8667769938151295</v>
      </c>
      <c r="Y35" s="14">
        <v>1.1662156858698156</v>
      </c>
      <c r="Z35" s="14">
        <v>0.95554464318533727</v>
      </c>
      <c r="AA35" s="14">
        <v>0</v>
      </c>
      <c r="AB35" s="14">
        <v>0</v>
      </c>
      <c r="AC35" s="14">
        <v>0</v>
      </c>
      <c r="AD35" s="14">
        <v>12.291250901904382</v>
      </c>
      <c r="AE35" s="11">
        <f t="shared" si="2"/>
        <v>100.00000000000001</v>
      </c>
      <c r="AF35" s="37"/>
    </row>
    <row r="36" spans="2:34" ht="17.25" customHeight="1" x14ac:dyDescent="0.25">
      <c r="B36" s="4">
        <v>2016</v>
      </c>
      <c r="C36" s="6"/>
      <c r="D36" s="14">
        <v>0</v>
      </c>
      <c r="E36" s="14">
        <v>1.1883471702359421</v>
      </c>
      <c r="F36" s="14">
        <v>5.556199996715363</v>
      </c>
      <c r="G36" s="14">
        <v>12.515808251564549</v>
      </c>
      <c r="H36" s="14">
        <v>1.3093046999966018</v>
      </c>
      <c r="I36" s="14">
        <v>2.7230485094960288</v>
      </c>
      <c r="J36" s="14">
        <v>17.856903251666413</v>
      </c>
      <c r="K36" s="14">
        <v>6.3526812070127914</v>
      </c>
      <c r="L36" s="14">
        <v>3.8902897014236602</v>
      </c>
      <c r="M36" s="14">
        <v>0</v>
      </c>
      <c r="N36" s="14">
        <v>1.0976462152915014</v>
      </c>
      <c r="O36" s="14">
        <v>0</v>
      </c>
      <c r="P36" s="14">
        <v>1.6509259159161729</v>
      </c>
      <c r="Q36" s="14">
        <v>13.813723400110858</v>
      </c>
      <c r="R36" s="14">
        <v>1.9292786298028672</v>
      </c>
      <c r="S36" s="14">
        <v>6.7695602934562933</v>
      </c>
      <c r="T36" s="14">
        <v>0</v>
      </c>
      <c r="U36" s="14">
        <v>2.0103738758019265</v>
      </c>
      <c r="V36" s="14">
        <v>0</v>
      </c>
      <c r="W36" s="14">
        <v>0.75426066452469864</v>
      </c>
      <c r="X36" s="14">
        <v>7.2248441188847066</v>
      </c>
      <c r="Y36" s="14">
        <v>1.0211656870290888</v>
      </c>
      <c r="Z36" s="14">
        <v>0.71210260532466851</v>
      </c>
      <c r="AA36" s="14">
        <v>0</v>
      </c>
      <c r="AB36" s="14">
        <v>0</v>
      </c>
      <c r="AC36" s="14">
        <v>0</v>
      </c>
      <c r="AD36" s="14">
        <v>11.623535805745846</v>
      </c>
      <c r="AE36" s="11">
        <f t="shared" si="2"/>
        <v>99.999999999999972</v>
      </c>
      <c r="AF36" s="37"/>
    </row>
    <row r="37" spans="2:34" ht="17.25" customHeight="1" x14ac:dyDescent="0.25">
      <c r="B37" s="4">
        <v>2017</v>
      </c>
      <c r="C37" s="6"/>
      <c r="D37" s="14">
        <v>0</v>
      </c>
      <c r="E37" s="14">
        <v>1.1534318988455075</v>
      </c>
      <c r="F37" s="14">
        <v>5.5723474312314778</v>
      </c>
      <c r="G37" s="14">
        <v>11.746932125121795</v>
      </c>
      <c r="H37" s="14">
        <v>1.7206959148149961</v>
      </c>
      <c r="I37" s="14">
        <v>2.405810035257562</v>
      </c>
      <c r="J37" s="14">
        <v>18.4275831127636</v>
      </c>
      <c r="K37" s="14">
        <v>5.3509630534284112</v>
      </c>
      <c r="L37" s="14">
        <v>5.3930824098151522</v>
      </c>
      <c r="M37" s="14">
        <v>0</v>
      </c>
      <c r="N37" s="14">
        <v>0.90905062650315738</v>
      </c>
      <c r="O37" s="14">
        <v>0</v>
      </c>
      <c r="P37" s="14">
        <v>2.7833077909815569</v>
      </c>
      <c r="Q37" s="14">
        <v>9.6085368953016612</v>
      </c>
      <c r="R37" s="14">
        <v>5.3016268625527685</v>
      </c>
      <c r="S37" s="14">
        <v>6.9627862279827797</v>
      </c>
      <c r="T37" s="14">
        <v>0</v>
      </c>
      <c r="U37" s="14">
        <v>2.2675999419206487</v>
      </c>
      <c r="V37" s="14">
        <v>0</v>
      </c>
      <c r="W37" s="14">
        <v>0.80849614489559363</v>
      </c>
      <c r="X37" s="14">
        <v>6.1961395164971815</v>
      </c>
      <c r="Y37" s="14">
        <v>0.77618491700786174</v>
      </c>
      <c r="Z37" s="14">
        <v>1.0674433891302506</v>
      </c>
      <c r="AA37" s="14">
        <v>0</v>
      </c>
      <c r="AB37" s="14">
        <v>0</v>
      </c>
      <c r="AC37" s="14">
        <v>0</v>
      </c>
      <c r="AD37" s="14">
        <v>11.547981705948029</v>
      </c>
      <c r="AE37" s="11">
        <f>+SUM(D37:AD37)</f>
        <v>100</v>
      </c>
      <c r="AF37" s="37"/>
    </row>
    <row r="38" spans="2:34" ht="17.25" customHeight="1" x14ac:dyDescent="0.25">
      <c r="B38" s="4">
        <v>2018</v>
      </c>
      <c r="C38" s="6"/>
      <c r="D38" s="14">
        <v>0</v>
      </c>
      <c r="E38" s="14">
        <v>1.2658985326191587</v>
      </c>
      <c r="F38" s="14">
        <v>5.3227623718174542</v>
      </c>
      <c r="G38" s="14">
        <v>12.033016073967044</v>
      </c>
      <c r="H38" s="14">
        <v>1.7353997965819139</v>
      </c>
      <c r="I38" s="14">
        <v>2.3921500938663876</v>
      </c>
      <c r="J38" s="14">
        <v>18.16991242150673</v>
      </c>
      <c r="K38" s="14">
        <v>4.4531312416190438</v>
      </c>
      <c r="L38" s="14">
        <v>4.6844558634007898</v>
      </c>
      <c r="M38" s="14">
        <v>0</v>
      </c>
      <c r="N38" s="14">
        <v>1.6028225192480916</v>
      </c>
      <c r="O38" s="14">
        <v>0</v>
      </c>
      <c r="P38" s="14">
        <v>2.6481451028450942</v>
      </c>
      <c r="Q38" s="14">
        <v>7.5728477731783705</v>
      </c>
      <c r="R38" s="14">
        <v>6.3357593938510739</v>
      </c>
      <c r="S38" s="14">
        <v>6.9730814368384602</v>
      </c>
      <c r="T38" s="14">
        <v>0</v>
      </c>
      <c r="U38" s="14">
        <v>1.9368832256857089</v>
      </c>
      <c r="V38" s="14">
        <v>0</v>
      </c>
      <c r="W38" s="14">
        <v>0.78657771787417563</v>
      </c>
      <c r="X38" s="14">
        <v>6.5686560227794368</v>
      </c>
      <c r="Y38" s="14">
        <v>0.60617466370932971</v>
      </c>
      <c r="Z38" s="14">
        <v>1.5986264345964503</v>
      </c>
      <c r="AA38" s="14">
        <v>0</v>
      </c>
      <c r="AB38" s="14">
        <v>0.54963875609547019</v>
      </c>
      <c r="AC38" s="14">
        <v>0</v>
      </c>
      <c r="AD38" s="14">
        <v>12.764060557919823</v>
      </c>
      <c r="AE38" s="11">
        <f t="shared" ref="AE38:AE44" si="3">+SUM(D38:AD38)</f>
        <v>100.00000000000001</v>
      </c>
      <c r="AF38" s="37"/>
    </row>
    <row r="39" spans="2:34" ht="17.25" customHeight="1" x14ac:dyDescent="0.25">
      <c r="B39" s="4">
        <v>2019</v>
      </c>
      <c r="C39" s="6"/>
      <c r="D39" s="14">
        <v>0</v>
      </c>
      <c r="E39" s="14">
        <v>1.4073064296330693</v>
      </c>
      <c r="F39" s="14">
        <v>5.4055421542993143</v>
      </c>
      <c r="G39" s="14">
        <v>11.774505705799413</v>
      </c>
      <c r="H39" s="14">
        <v>1.4020936845953005</v>
      </c>
      <c r="I39" s="14">
        <v>2.0596607381170995</v>
      </c>
      <c r="J39" s="14">
        <v>18.73464626162027</v>
      </c>
      <c r="K39" s="14">
        <v>4.3445042106466278</v>
      </c>
      <c r="L39" s="14">
        <v>2.8438606442076657</v>
      </c>
      <c r="M39" s="14">
        <v>0</v>
      </c>
      <c r="N39" s="14">
        <v>1.4691014846979955</v>
      </c>
      <c r="O39" s="14">
        <v>0</v>
      </c>
      <c r="P39" s="14">
        <v>6.233279857169669</v>
      </c>
      <c r="Q39" s="14">
        <v>7.2296868118526598</v>
      </c>
      <c r="R39" s="14">
        <v>6.6394919245784108</v>
      </c>
      <c r="S39" s="14">
        <v>7.3302252447490108</v>
      </c>
      <c r="T39" s="14">
        <v>0</v>
      </c>
      <c r="U39" s="14">
        <v>2.264434411995853</v>
      </c>
      <c r="V39" s="14">
        <v>0</v>
      </c>
      <c r="W39" s="14">
        <v>0.7693823710702371</v>
      </c>
      <c r="X39" s="14">
        <v>6.6486891857165142</v>
      </c>
      <c r="Y39" s="14">
        <v>0.55875113815592337</v>
      </c>
      <c r="Z39" s="14">
        <v>0.84246204820297665</v>
      </c>
      <c r="AA39" s="14">
        <v>0</v>
      </c>
      <c r="AB39" s="14">
        <v>0.59450928182915619</v>
      </c>
      <c r="AC39" s="14">
        <v>0</v>
      </c>
      <c r="AD39" s="14">
        <v>11.447866411062808</v>
      </c>
      <c r="AE39" s="11">
        <f t="shared" si="3"/>
        <v>99.999999999999986</v>
      </c>
      <c r="AF39" s="37"/>
    </row>
    <row r="40" spans="2:34" ht="17.25" customHeight="1" x14ac:dyDescent="0.25">
      <c r="B40" s="4">
        <v>2020</v>
      </c>
      <c r="C40" s="6"/>
      <c r="D40" s="14">
        <v>0</v>
      </c>
      <c r="E40" s="14">
        <v>1.2925873937956947</v>
      </c>
      <c r="F40" s="14">
        <v>5.8711707592265086</v>
      </c>
      <c r="G40" s="14">
        <v>11.968748622307636</v>
      </c>
      <c r="H40" s="14">
        <v>1.6493179217740133</v>
      </c>
      <c r="I40" s="14">
        <v>2.9397551055345623</v>
      </c>
      <c r="J40" s="14">
        <v>18.670705499538183</v>
      </c>
      <c r="K40" s="14">
        <v>4.8534067537990326</v>
      </c>
      <c r="L40" s="14">
        <v>2.3574945168625354</v>
      </c>
      <c r="M40" s="14">
        <v>0</v>
      </c>
      <c r="N40" s="14">
        <v>2.1067004532985383</v>
      </c>
      <c r="O40" s="14">
        <v>0</v>
      </c>
      <c r="P40" s="14">
        <v>2.7539968929199374</v>
      </c>
      <c r="Q40" s="14">
        <v>7.0598522266916079</v>
      </c>
      <c r="R40" s="14">
        <v>8.3888952262569791</v>
      </c>
      <c r="S40" s="14">
        <v>6.819110900281065</v>
      </c>
      <c r="T40" s="14">
        <v>0</v>
      </c>
      <c r="U40" s="14">
        <v>1.8618249226222867</v>
      </c>
      <c r="V40" s="14">
        <v>0</v>
      </c>
      <c r="W40" s="14">
        <v>0.7945054537273869</v>
      </c>
      <c r="X40" s="14">
        <v>8.4949559272021204</v>
      </c>
      <c r="Y40" s="14">
        <v>0.72889497386886504</v>
      </c>
      <c r="Z40" s="14">
        <v>0.63162510033020725</v>
      </c>
      <c r="AA40" s="14">
        <v>0</v>
      </c>
      <c r="AB40" s="14">
        <v>0.66445983625366556</v>
      </c>
      <c r="AC40" s="14">
        <v>0</v>
      </c>
      <c r="AD40" s="14">
        <v>10.091991513709186</v>
      </c>
      <c r="AE40" s="11">
        <f t="shared" si="3"/>
        <v>100.00000000000003</v>
      </c>
      <c r="AF40" s="37"/>
    </row>
    <row r="41" spans="2:34" ht="17.25" customHeight="1" x14ac:dyDescent="0.25">
      <c r="B41" s="4">
        <v>2021</v>
      </c>
      <c r="C41" s="6"/>
      <c r="D41" s="14">
        <v>0</v>
      </c>
      <c r="E41" s="14">
        <v>1.1970115534382677</v>
      </c>
      <c r="F41" s="14">
        <v>4.1103340472237866</v>
      </c>
      <c r="G41" s="14">
        <v>11.305803328526025</v>
      </c>
      <c r="H41" s="14">
        <v>1.6669919109569269</v>
      </c>
      <c r="I41" s="14">
        <v>2.2939944952606743</v>
      </c>
      <c r="J41" s="14">
        <v>17.09811903150424</v>
      </c>
      <c r="K41" s="14">
        <v>5.5163156294853817</v>
      </c>
      <c r="L41" s="14">
        <v>3.2279161078636687</v>
      </c>
      <c r="M41" s="14">
        <v>0</v>
      </c>
      <c r="N41" s="14">
        <v>2.1995415661299824</v>
      </c>
      <c r="O41" s="14">
        <v>0</v>
      </c>
      <c r="P41" s="14">
        <v>2.8646245172797458</v>
      </c>
      <c r="Q41" s="14">
        <v>6.1242695484251239</v>
      </c>
      <c r="R41" s="14">
        <v>13.82390519947718</v>
      </c>
      <c r="S41" s="14">
        <v>7.1002425811361514</v>
      </c>
      <c r="T41" s="14">
        <v>0</v>
      </c>
      <c r="U41" s="14">
        <v>1.6026948241104562</v>
      </c>
      <c r="V41" s="14">
        <v>0</v>
      </c>
      <c r="W41" s="14">
        <v>0.77699111371606278</v>
      </c>
      <c r="X41" s="14">
        <v>7.3816919932550409</v>
      </c>
      <c r="Y41" s="14">
        <v>0.92052339104353709</v>
      </c>
      <c r="Z41" s="14">
        <v>0.51081205976933242</v>
      </c>
      <c r="AA41" s="14">
        <v>0</v>
      </c>
      <c r="AB41" s="14">
        <v>0.5086249820572678</v>
      </c>
      <c r="AC41" s="14">
        <v>0</v>
      </c>
      <c r="AD41" s="14">
        <v>9.769592119341155</v>
      </c>
      <c r="AE41" s="11">
        <f t="shared" si="3"/>
        <v>100.00000000000001</v>
      </c>
      <c r="AF41" s="37"/>
    </row>
    <row r="42" spans="2:34" ht="17.25" customHeight="1" x14ac:dyDescent="0.25">
      <c r="B42" s="4">
        <v>2022</v>
      </c>
      <c r="C42" s="6"/>
      <c r="D42" s="14"/>
      <c r="E42" s="14">
        <v>1.074541285142542</v>
      </c>
      <c r="F42" s="14">
        <v>5.2643682824196878</v>
      </c>
      <c r="G42" s="14">
        <v>11.692409836908428</v>
      </c>
      <c r="H42" s="14">
        <v>1.213780181159321</v>
      </c>
      <c r="I42" s="14">
        <v>2.4717235666034636</v>
      </c>
      <c r="J42" s="14">
        <v>18.360411570096385</v>
      </c>
      <c r="K42" s="14">
        <v>5.9693374523930025</v>
      </c>
      <c r="L42" s="14">
        <v>3.3285946481054154</v>
      </c>
      <c r="M42" s="14">
        <v>0</v>
      </c>
      <c r="N42" s="14">
        <v>2.5933573080146379</v>
      </c>
      <c r="O42" s="14">
        <v>0</v>
      </c>
      <c r="P42" s="14">
        <v>2.9508276574630803</v>
      </c>
      <c r="Q42" s="14">
        <v>4.7650125378608266</v>
      </c>
      <c r="R42" s="14">
        <v>14.364423295568235</v>
      </c>
      <c r="S42" s="14">
        <v>6.4983213086706275</v>
      </c>
      <c r="T42" s="14">
        <v>0</v>
      </c>
      <c r="U42" s="14">
        <v>1.4965811183284727</v>
      </c>
      <c r="V42" s="14">
        <v>0</v>
      </c>
      <c r="W42" s="14">
        <v>0.81618850040890178</v>
      </c>
      <c r="X42" s="14">
        <v>8.0783712160993844</v>
      </c>
      <c r="Y42" s="14">
        <v>1.0613753079285002</v>
      </c>
      <c r="Z42" s="14">
        <v>0</v>
      </c>
      <c r="AA42" s="14">
        <v>0</v>
      </c>
      <c r="AB42" s="14">
        <v>0</v>
      </c>
      <c r="AC42" s="14">
        <v>0</v>
      </c>
      <c r="AD42" s="14">
        <v>8.0003749268290925</v>
      </c>
      <c r="AE42" s="11">
        <f t="shared" si="3"/>
        <v>100.00000000000001</v>
      </c>
      <c r="AF42" s="37"/>
      <c r="AH42" s="35"/>
    </row>
    <row r="43" spans="2:34" ht="17.25" customHeight="1" x14ac:dyDescent="0.25">
      <c r="B43" s="4">
        <v>2023</v>
      </c>
      <c r="C43" s="6" t="s">
        <v>1</v>
      </c>
      <c r="D43" s="14"/>
      <c r="E43" s="14">
        <v>0.63238351599879694</v>
      </c>
      <c r="F43" s="14">
        <v>4.7997830298093795</v>
      </c>
      <c r="G43" s="14">
        <v>12.57370540112853</v>
      </c>
      <c r="H43" s="14">
        <v>1.2303996114266522</v>
      </c>
      <c r="I43" s="14">
        <v>2.115028111732665</v>
      </c>
      <c r="J43" s="14">
        <v>21.904841786913764</v>
      </c>
      <c r="K43" s="14">
        <v>6.9198349656079641</v>
      </c>
      <c r="L43" s="14">
        <v>2.8950323876588224</v>
      </c>
      <c r="M43" s="14">
        <v>0</v>
      </c>
      <c r="N43" s="14">
        <v>1.8428073875402105</v>
      </c>
      <c r="O43" s="14">
        <v>0</v>
      </c>
      <c r="P43" s="14">
        <v>5.5472501373963814</v>
      </c>
      <c r="Q43" s="14">
        <v>4.6262202670408525</v>
      </c>
      <c r="R43" s="14">
        <v>9.4756853359962392</v>
      </c>
      <c r="S43" s="14">
        <v>5.6091323792838894</v>
      </c>
      <c r="T43" s="14">
        <v>0</v>
      </c>
      <c r="U43" s="14">
        <v>1.8299219710539014</v>
      </c>
      <c r="V43" s="14">
        <v>0</v>
      </c>
      <c r="W43" s="14">
        <v>0.91102526969757147</v>
      </c>
      <c r="X43" s="14">
        <v>6.7757090575103058</v>
      </c>
      <c r="Y43" s="14">
        <v>1.0615622966428624</v>
      </c>
      <c r="Z43" s="14">
        <v>0.72278026592729838</v>
      </c>
      <c r="AA43" s="14">
        <v>0</v>
      </c>
      <c r="AB43" s="14">
        <v>0.58496752245686456</v>
      </c>
      <c r="AC43" s="14">
        <v>0</v>
      </c>
      <c r="AD43" s="14">
        <v>7.94192929917706</v>
      </c>
      <c r="AE43" s="11">
        <f t="shared" si="3"/>
        <v>100.00000000000003</v>
      </c>
      <c r="AF43" s="37"/>
      <c r="AH43" s="35"/>
    </row>
    <row r="44" spans="2:34" ht="17.25" customHeight="1" x14ac:dyDescent="0.25">
      <c r="B44" s="4">
        <v>2024</v>
      </c>
      <c r="C44" s="6" t="s">
        <v>1</v>
      </c>
      <c r="D44" s="14"/>
      <c r="E44" s="14">
        <v>1.4089311158968327</v>
      </c>
      <c r="F44" s="14">
        <v>4.0927884604886788</v>
      </c>
      <c r="G44" s="14">
        <v>12.135888735811577</v>
      </c>
      <c r="H44" s="14">
        <v>1.3127012905521667</v>
      </c>
      <c r="I44" s="14">
        <v>2.0735726095041578</v>
      </c>
      <c r="J44" s="14">
        <v>25.925927999500558</v>
      </c>
      <c r="K44" s="14">
        <v>4.8522891718729744</v>
      </c>
      <c r="L44" s="14">
        <v>4.4351691602438903</v>
      </c>
      <c r="M44" s="14">
        <v>0</v>
      </c>
      <c r="N44" s="14">
        <v>1.7360999569851827</v>
      </c>
      <c r="O44" s="14">
        <v>0</v>
      </c>
      <c r="P44" s="14">
        <v>3.6015495351253342</v>
      </c>
      <c r="Q44" s="14">
        <v>4.948050393442637</v>
      </c>
      <c r="R44" s="14">
        <v>4.0220040354636328</v>
      </c>
      <c r="S44" s="14">
        <v>6.7292808045149144</v>
      </c>
      <c r="T44" s="14">
        <v>0</v>
      </c>
      <c r="U44" s="14">
        <v>1.6476967995920986</v>
      </c>
      <c r="V44" s="14">
        <v>0</v>
      </c>
      <c r="W44" s="14">
        <v>1.0874598830423621</v>
      </c>
      <c r="X44" s="14">
        <v>7.6350363031551733</v>
      </c>
      <c r="Y44" s="14">
        <v>1.3615125800924146</v>
      </c>
      <c r="Z44" s="14">
        <v>0.71037880766419581</v>
      </c>
      <c r="AA44" s="14">
        <v>0</v>
      </c>
      <c r="AB44" s="14">
        <v>0.55118808813651343</v>
      </c>
      <c r="AC44" s="14">
        <v>0</v>
      </c>
      <c r="AD44" s="14">
        <v>9.7324742689147126</v>
      </c>
      <c r="AE44" s="11">
        <f t="shared" si="3"/>
        <v>100.00000000000001</v>
      </c>
      <c r="AF44" s="37"/>
      <c r="AH44" s="35"/>
    </row>
    <row r="45" spans="2:34" ht="9" customHeight="1" x14ac:dyDescent="0.25">
      <c r="B45" s="26"/>
      <c r="C45" s="27"/>
      <c r="D45" s="38"/>
      <c r="E45" s="38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40"/>
      <c r="AF45" s="41"/>
    </row>
    <row r="46" spans="2:34" ht="3.75" customHeight="1" x14ac:dyDescent="0.25"/>
    <row r="47" spans="2:34" s="9" customFormat="1" ht="11.4" x14ac:dyDescent="0.2">
      <c r="B47" s="9" t="s">
        <v>3</v>
      </c>
      <c r="E47" s="9" t="s">
        <v>6</v>
      </c>
      <c r="AD47" s="13"/>
      <c r="AE47" s="13"/>
    </row>
    <row r="48" spans="2:34" s="9" customFormat="1" ht="11.4" x14ac:dyDescent="0.2">
      <c r="B48" s="9" t="s">
        <v>4</v>
      </c>
      <c r="E48" s="9" t="s">
        <v>8</v>
      </c>
      <c r="AD48" s="13"/>
      <c r="AE48" s="13"/>
    </row>
    <row r="49" spans="2:32" x14ac:dyDescent="0.25">
      <c r="B49" s="9" t="s">
        <v>5</v>
      </c>
      <c r="E49" s="9" t="s">
        <v>38</v>
      </c>
    </row>
    <row r="50" spans="2:32" x14ac:dyDescent="0.25">
      <c r="E50" s="9" t="s">
        <v>7</v>
      </c>
    </row>
    <row r="51" spans="2:32" x14ac:dyDescent="0.25">
      <c r="E51" s="22"/>
    </row>
    <row r="52" spans="2:32" x14ac:dyDescent="0.25">
      <c r="F52" s="21"/>
    </row>
    <row r="53" spans="2:32" ht="13.8" x14ac:dyDescent="0.25">
      <c r="C53" s="2"/>
      <c r="D53" s="2"/>
      <c r="E53" s="2"/>
      <c r="F53" s="21"/>
    </row>
    <row r="54" spans="2:32" ht="13.8" x14ac:dyDescent="0.25">
      <c r="C54" s="2"/>
      <c r="D54" s="2"/>
      <c r="E54" s="2"/>
    </row>
    <row r="55" spans="2:32" ht="13.8" x14ac:dyDescent="0.25">
      <c r="B55" s="2"/>
      <c r="C55" s="2"/>
      <c r="D55" s="2"/>
      <c r="E55" s="2"/>
    </row>
    <row r="56" spans="2:32" ht="13.8" x14ac:dyDescent="0.25">
      <c r="B56" s="2"/>
      <c r="C56" s="2"/>
      <c r="D56" s="3"/>
      <c r="E56" s="3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F56" s="12"/>
    </row>
    <row r="57" spans="2:32" s="15" customFormat="1" x14ac:dyDescent="0.25">
      <c r="C57" s="16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17"/>
      <c r="AF57" s="17"/>
    </row>
    <row r="58" spans="2:32" s="15" customFormat="1" ht="15" customHeight="1" x14ac:dyDescent="0.25">
      <c r="C58" s="16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33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17"/>
      <c r="AF58" s="17"/>
    </row>
    <row r="59" spans="2:32" s="15" customFormat="1" x14ac:dyDescent="0.25">
      <c r="C59" s="16"/>
      <c r="D59" s="49"/>
      <c r="E59" s="49"/>
      <c r="F59" s="49"/>
      <c r="G59" s="49"/>
      <c r="H59" s="49"/>
      <c r="I59" s="49"/>
      <c r="J59" s="57"/>
      <c r="K59" s="49"/>
      <c r="L59" s="49"/>
      <c r="M59" s="49"/>
      <c r="N59" s="49"/>
      <c r="O59" s="49"/>
      <c r="P59" s="34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17"/>
      <c r="AF59" s="17"/>
    </row>
    <row r="60" spans="2:32" s="15" customFormat="1" ht="12.75" customHeight="1" x14ac:dyDescent="0.25">
      <c r="B60" s="19"/>
      <c r="C60" s="16"/>
      <c r="D60" s="49"/>
      <c r="E60" s="49"/>
      <c r="F60" s="49"/>
      <c r="G60" s="49"/>
      <c r="H60" s="49"/>
      <c r="I60" s="49"/>
      <c r="J60" s="57"/>
      <c r="K60" s="49"/>
      <c r="L60" s="49"/>
      <c r="M60" s="49"/>
      <c r="N60" s="49"/>
      <c r="O60" s="49"/>
      <c r="P60" s="34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17"/>
      <c r="AF60" s="17"/>
    </row>
    <row r="61" spans="2:32" s="15" customFormat="1" x14ac:dyDescent="0.25">
      <c r="C61" s="16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9"/>
      <c r="AE61" s="17"/>
      <c r="AF61" s="17"/>
    </row>
    <row r="62" spans="2:32" s="15" customFormat="1" x14ac:dyDescent="0.25">
      <c r="C62" s="16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9"/>
      <c r="AE62" s="17"/>
      <c r="AF62" s="17"/>
    </row>
    <row r="63" spans="2:32" s="15" customFormat="1" x14ac:dyDescent="0.25">
      <c r="C63" s="16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9"/>
      <c r="AE63" s="17"/>
      <c r="AF63" s="17"/>
    </row>
    <row r="64" spans="2:32" s="15" customFormat="1" x14ac:dyDescent="0.25">
      <c r="C64" s="16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9"/>
      <c r="AE64" s="17"/>
      <c r="AF64" s="17"/>
    </row>
    <row r="65" spans="3:32" s="15" customFormat="1" x14ac:dyDescent="0.25">
      <c r="C65" s="16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9"/>
      <c r="AE65" s="17"/>
      <c r="AF65" s="17"/>
    </row>
    <row r="66" spans="3:32" s="15" customFormat="1" x14ac:dyDescent="0.25">
      <c r="C66" s="16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9"/>
      <c r="AE66" s="17"/>
      <c r="AF66" s="17"/>
    </row>
    <row r="67" spans="3:32" s="15" customFormat="1" x14ac:dyDescent="0.25">
      <c r="C67" s="16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9"/>
      <c r="AE67" s="17"/>
      <c r="AF67" s="17"/>
    </row>
    <row r="68" spans="3:32" s="15" customFormat="1" x14ac:dyDescent="0.25">
      <c r="C68" s="16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9"/>
      <c r="AE68" s="17"/>
      <c r="AF68" s="17"/>
    </row>
    <row r="69" spans="3:32" s="15" customFormat="1" x14ac:dyDescent="0.25">
      <c r="C69" s="16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9"/>
      <c r="AE69" s="17"/>
      <c r="AF69" s="17"/>
    </row>
    <row r="70" spans="3:32" s="15" customFormat="1" x14ac:dyDescent="0.25">
      <c r="C70" s="16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9"/>
      <c r="AE70" s="17"/>
      <c r="AF70" s="17"/>
    </row>
    <row r="71" spans="3:32" s="15" customFormat="1" x14ac:dyDescent="0.25">
      <c r="C71" s="16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9"/>
      <c r="AE71" s="17"/>
      <c r="AF71" s="17"/>
    </row>
    <row r="72" spans="3:32" s="15" customFormat="1" x14ac:dyDescent="0.25">
      <c r="C72" s="16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9"/>
      <c r="AE72" s="17"/>
      <c r="AF72" s="17"/>
    </row>
    <row r="73" spans="3:32" s="15" customFormat="1" x14ac:dyDescent="0.25">
      <c r="C73" s="16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17"/>
      <c r="AF73" s="17"/>
    </row>
    <row r="74" spans="3:32" s="15" customFormat="1" x14ac:dyDescent="0.25"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3:32" s="15" customFormat="1" x14ac:dyDescent="0.25"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3:32" s="15" customFormat="1" x14ac:dyDescent="0.25">
      <c r="D76" s="17"/>
      <c r="E76" s="17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17"/>
    </row>
    <row r="77" spans="3:32" s="15" customFormat="1" x14ac:dyDescent="0.25">
      <c r="D77" s="17"/>
      <c r="E77" s="17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17"/>
    </row>
    <row r="78" spans="3:32" s="15" customFormat="1" x14ac:dyDescent="0.25">
      <c r="D78" s="17"/>
      <c r="E78" s="17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17"/>
    </row>
    <row r="79" spans="3:32" s="15" customFormat="1" x14ac:dyDescent="0.25"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</row>
    <row r="80" spans="3:32" s="15" customFormat="1" x14ac:dyDescent="0.25"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</row>
    <row r="81" spans="2:31" s="15" customFormat="1" x14ac:dyDescent="0.25">
      <c r="F81" s="20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</row>
    <row r="82" spans="2:31" s="15" customFormat="1" x14ac:dyDescent="0.25"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</row>
    <row r="83" spans="2:31" s="15" customFormat="1" x14ac:dyDescent="0.25"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</row>
    <row r="84" spans="2:31" s="15" customFormat="1" x14ac:dyDescent="0.25"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</row>
    <row r="85" spans="2:31" s="15" customFormat="1" x14ac:dyDescent="0.25"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</row>
    <row r="86" spans="2:31" s="15" customFormat="1" x14ac:dyDescent="0.25"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</row>
    <row r="87" spans="2:31" s="15" customFormat="1" x14ac:dyDescent="0.25"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</row>
    <row r="88" spans="2:31" s="15" customFormat="1" x14ac:dyDescent="0.25"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</row>
    <row r="89" spans="2:31" s="15" customFormat="1" x14ac:dyDescent="0.25"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</row>
    <row r="90" spans="2:31" s="15" customFormat="1" x14ac:dyDescent="0.25">
      <c r="AD90" s="17"/>
      <c r="AE90" s="17"/>
    </row>
    <row r="91" spans="2:31" s="15" customFormat="1" x14ac:dyDescent="0.25">
      <c r="AD91" s="17"/>
      <c r="AE91" s="17"/>
    </row>
    <row r="92" spans="2:31" s="15" customFormat="1" x14ac:dyDescent="0.25">
      <c r="AD92" s="17"/>
      <c r="AE92" s="17"/>
    </row>
    <row r="93" spans="2:31" s="15" customFormat="1" x14ac:dyDescent="0.25">
      <c r="AD93" s="17"/>
      <c r="AE93" s="17"/>
    </row>
    <row r="94" spans="2:31" s="15" customFormat="1" x14ac:dyDescent="0.25"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8"/>
      <c r="AE94" s="17"/>
    </row>
    <row r="95" spans="2:31" s="15" customFormat="1" x14ac:dyDescent="0.25"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8"/>
      <c r="AE95" s="17"/>
    </row>
    <row r="96" spans="2:31" s="15" customFormat="1" x14ac:dyDescent="0.25"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8"/>
      <c r="AE96" s="17"/>
    </row>
    <row r="97" spans="2:31" s="15" customFormat="1" x14ac:dyDescent="0.25"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8"/>
      <c r="AE97" s="17"/>
    </row>
    <row r="98" spans="2:31" s="15" customFormat="1" x14ac:dyDescent="0.25"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8"/>
      <c r="AE98" s="17"/>
    </row>
    <row r="99" spans="2:31" s="15" customFormat="1" x14ac:dyDescent="0.25"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8"/>
      <c r="AE99" s="17"/>
    </row>
    <row r="100" spans="2:31" s="15" customFormat="1" x14ac:dyDescent="0.25"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8"/>
      <c r="AE100" s="17"/>
    </row>
    <row r="101" spans="2:31" s="15" customFormat="1" x14ac:dyDescent="0.25"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8"/>
      <c r="AE101" s="17"/>
    </row>
    <row r="102" spans="2:31" s="15" customFormat="1" x14ac:dyDescent="0.25"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8"/>
      <c r="AE102" s="17"/>
    </row>
    <row r="103" spans="2:31" s="15" customFormat="1" x14ac:dyDescent="0.25"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8"/>
      <c r="AE103" s="17"/>
    </row>
    <row r="104" spans="2:31" s="15" customFormat="1" x14ac:dyDescent="0.25"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8"/>
      <c r="AE104" s="17"/>
    </row>
    <row r="105" spans="2:31" s="15" customFormat="1" x14ac:dyDescent="0.25"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8"/>
      <c r="AE105" s="17"/>
    </row>
    <row r="106" spans="2:31" s="15" customFormat="1" x14ac:dyDescent="0.25"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8"/>
      <c r="AE106" s="17"/>
    </row>
    <row r="107" spans="2:31" s="15" customFormat="1" x14ac:dyDescent="0.25"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8"/>
      <c r="AE107" s="17"/>
    </row>
    <row r="108" spans="2:31" s="15" customFormat="1" x14ac:dyDescent="0.25">
      <c r="AD108" s="17"/>
      <c r="AE108" s="17"/>
    </row>
    <row r="109" spans="2:31" s="15" customFormat="1" x14ac:dyDescent="0.25">
      <c r="AD109" s="17"/>
      <c r="AE109" s="17"/>
    </row>
    <row r="110" spans="2:31" s="15" customFormat="1" x14ac:dyDescent="0.25">
      <c r="AD110" s="17"/>
      <c r="AE110" s="17"/>
    </row>
    <row r="111" spans="2:31" s="15" customFormat="1" x14ac:dyDescent="0.25">
      <c r="AD111" s="17"/>
      <c r="AE111" s="17"/>
    </row>
    <row r="112" spans="2:31" s="15" customFormat="1" x14ac:dyDescent="0.25">
      <c r="AD112" s="17"/>
      <c r="AE112" s="17"/>
    </row>
    <row r="113" spans="30:31" s="15" customFormat="1" x14ac:dyDescent="0.25">
      <c r="AD113" s="17"/>
      <c r="AE113" s="17"/>
    </row>
    <row r="114" spans="30:31" s="15" customFormat="1" x14ac:dyDescent="0.25">
      <c r="AD114" s="17"/>
      <c r="AE114" s="17"/>
    </row>
    <row r="115" spans="30:31" s="15" customFormat="1" x14ac:dyDescent="0.25">
      <c r="AD115" s="17"/>
      <c r="AE115" s="17"/>
    </row>
    <row r="116" spans="30:31" s="15" customFormat="1" x14ac:dyDescent="0.25">
      <c r="AD116" s="17"/>
      <c r="AE116" s="17"/>
    </row>
    <row r="117" spans="30:31" s="15" customFormat="1" x14ac:dyDescent="0.25">
      <c r="AD117" s="17"/>
      <c r="AE117" s="17"/>
    </row>
    <row r="118" spans="30:31" s="15" customFormat="1" x14ac:dyDescent="0.25">
      <c r="AD118" s="17"/>
      <c r="AE118" s="17"/>
    </row>
    <row r="119" spans="30:31" s="15" customFormat="1" x14ac:dyDescent="0.25">
      <c r="AD119" s="17"/>
      <c r="AE119" s="17"/>
    </row>
    <row r="120" spans="30:31" s="15" customFormat="1" x14ac:dyDescent="0.25">
      <c r="AD120" s="17"/>
      <c r="AE120" s="17"/>
    </row>
    <row r="121" spans="30:31" s="15" customFormat="1" x14ac:dyDescent="0.25">
      <c r="AD121" s="17"/>
      <c r="AE121" s="17"/>
    </row>
    <row r="122" spans="30:31" s="15" customFormat="1" x14ac:dyDescent="0.25">
      <c r="AD122" s="17"/>
      <c r="AE122" s="17"/>
    </row>
    <row r="123" spans="30:31" s="15" customFormat="1" x14ac:dyDescent="0.25">
      <c r="AD123" s="17"/>
      <c r="AE123" s="17"/>
    </row>
    <row r="124" spans="30:31" s="15" customFormat="1" x14ac:dyDescent="0.25">
      <c r="AD124" s="17"/>
      <c r="AE124" s="17"/>
    </row>
    <row r="125" spans="30:31" s="15" customFormat="1" x14ac:dyDescent="0.25">
      <c r="AD125" s="17"/>
      <c r="AE125" s="17"/>
    </row>
    <row r="126" spans="30:31" s="15" customFormat="1" x14ac:dyDescent="0.25">
      <c r="AD126" s="17"/>
      <c r="AE126" s="17"/>
    </row>
    <row r="127" spans="30:31" s="15" customFormat="1" x14ac:dyDescent="0.25">
      <c r="AD127" s="17"/>
      <c r="AE127" s="17"/>
    </row>
    <row r="128" spans="30:31" s="15" customFormat="1" x14ac:dyDescent="0.25">
      <c r="AD128" s="17"/>
      <c r="AE128" s="17"/>
    </row>
    <row r="129" spans="30:31" s="15" customFormat="1" x14ac:dyDescent="0.25">
      <c r="AD129" s="17"/>
      <c r="AE129" s="17"/>
    </row>
    <row r="130" spans="30:31" s="15" customFormat="1" x14ac:dyDescent="0.25">
      <c r="AD130" s="17"/>
      <c r="AE130" s="17"/>
    </row>
    <row r="131" spans="30:31" s="15" customFormat="1" x14ac:dyDescent="0.25">
      <c r="AD131" s="17"/>
      <c r="AE131" s="17"/>
    </row>
    <row r="132" spans="30:31" s="15" customFormat="1" x14ac:dyDescent="0.25">
      <c r="AD132" s="17"/>
      <c r="AE132" s="17"/>
    </row>
    <row r="133" spans="30:31" s="15" customFormat="1" x14ac:dyDescent="0.25">
      <c r="AD133" s="17"/>
      <c r="AE133" s="17"/>
    </row>
    <row r="134" spans="30:31" s="15" customFormat="1" x14ac:dyDescent="0.25">
      <c r="AD134" s="17"/>
      <c r="AE134" s="17"/>
    </row>
    <row r="135" spans="30:31" s="15" customFormat="1" x14ac:dyDescent="0.25">
      <c r="AD135" s="17"/>
      <c r="AE135" s="17"/>
    </row>
    <row r="136" spans="30:31" s="15" customFormat="1" x14ac:dyDescent="0.25">
      <c r="AD136" s="17"/>
      <c r="AE136" s="17"/>
    </row>
    <row r="137" spans="30:31" s="15" customFormat="1" x14ac:dyDescent="0.25">
      <c r="AD137" s="17"/>
      <c r="AE137" s="17"/>
    </row>
    <row r="138" spans="30:31" s="15" customFormat="1" x14ac:dyDescent="0.25">
      <c r="AD138" s="17"/>
      <c r="AE138" s="17"/>
    </row>
    <row r="139" spans="30:31" s="15" customFormat="1" x14ac:dyDescent="0.25">
      <c r="AD139" s="17"/>
      <c r="AE139" s="17"/>
    </row>
    <row r="140" spans="30:31" s="15" customFormat="1" x14ac:dyDescent="0.25">
      <c r="AD140" s="17"/>
      <c r="AE140" s="17"/>
    </row>
    <row r="141" spans="30:31" s="15" customFormat="1" x14ac:dyDescent="0.25">
      <c r="AD141" s="17"/>
      <c r="AE141" s="17"/>
    </row>
    <row r="142" spans="30:31" s="15" customFormat="1" x14ac:dyDescent="0.25">
      <c r="AD142" s="17"/>
      <c r="AE142" s="17"/>
    </row>
    <row r="143" spans="30:31" s="15" customFormat="1" x14ac:dyDescent="0.25">
      <c r="AD143" s="17"/>
      <c r="AE143" s="17"/>
    </row>
    <row r="144" spans="30:31" s="15" customFormat="1" x14ac:dyDescent="0.25">
      <c r="AD144" s="17"/>
      <c r="AE144" s="17"/>
    </row>
    <row r="145" spans="30:31" s="15" customFormat="1" x14ac:dyDescent="0.25">
      <c r="AD145" s="17"/>
      <c r="AE145" s="17"/>
    </row>
    <row r="146" spans="30:31" s="15" customFormat="1" x14ac:dyDescent="0.25">
      <c r="AD146" s="17"/>
      <c r="AE146" s="17"/>
    </row>
    <row r="147" spans="30:31" s="15" customFormat="1" x14ac:dyDescent="0.25">
      <c r="AD147" s="17"/>
      <c r="AE147" s="17"/>
    </row>
    <row r="148" spans="30:31" s="15" customFormat="1" x14ac:dyDescent="0.25">
      <c r="AD148" s="17"/>
      <c r="AE148" s="17"/>
    </row>
    <row r="149" spans="30:31" s="15" customFormat="1" x14ac:dyDescent="0.25">
      <c r="AD149" s="17"/>
      <c r="AE149" s="17"/>
    </row>
    <row r="150" spans="30:31" s="15" customFormat="1" x14ac:dyDescent="0.25">
      <c r="AD150" s="17"/>
      <c r="AE150" s="17"/>
    </row>
    <row r="151" spans="30:31" s="15" customFormat="1" x14ac:dyDescent="0.25">
      <c r="AD151" s="17"/>
      <c r="AE151" s="17"/>
    </row>
    <row r="152" spans="30:31" s="15" customFormat="1" x14ac:dyDescent="0.25">
      <c r="AD152" s="17"/>
      <c r="AE152" s="17"/>
    </row>
    <row r="153" spans="30:31" s="15" customFormat="1" x14ac:dyDescent="0.25">
      <c r="AD153" s="17"/>
      <c r="AE153" s="17"/>
    </row>
    <row r="154" spans="30:31" s="15" customFormat="1" x14ac:dyDescent="0.25">
      <c r="AD154" s="17"/>
      <c r="AE154" s="17"/>
    </row>
    <row r="155" spans="30:31" s="15" customFormat="1" x14ac:dyDescent="0.25">
      <c r="AD155" s="17"/>
      <c r="AE155" s="17"/>
    </row>
    <row r="156" spans="30:31" s="15" customFormat="1" x14ac:dyDescent="0.25">
      <c r="AD156" s="17"/>
      <c r="AE156" s="17"/>
    </row>
    <row r="157" spans="30:31" s="15" customFormat="1" x14ac:dyDescent="0.25">
      <c r="AD157" s="17"/>
      <c r="AE157" s="17"/>
    </row>
    <row r="158" spans="30:31" s="15" customFormat="1" x14ac:dyDescent="0.25">
      <c r="AD158" s="17"/>
      <c r="AE158" s="17"/>
    </row>
    <row r="159" spans="30:31" s="15" customFormat="1" x14ac:dyDescent="0.25">
      <c r="AD159" s="17"/>
      <c r="AE159" s="17"/>
    </row>
    <row r="160" spans="30:31" s="15" customFormat="1" x14ac:dyDescent="0.25">
      <c r="AD160" s="17"/>
      <c r="AE160" s="17"/>
    </row>
    <row r="161" spans="30:31" s="15" customFormat="1" x14ac:dyDescent="0.25">
      <c r="AD161" s="17"/>
      <c r="AE161" s="17"/>
    </row>
    <row r="162" spans="30:31" s="15" customFormat="1" x14ac:dyDescent="0.25">
      <c r="AD162" s="17"/>
      <c r="AE162" s="17"/>
    </row>
    <row r="163" spans="30:31" s="15" customFormat="1" x14ac:dyDescent="0.25">
      <c r="AD163" s="17"/>
      <c r="AE163" s="17"/>
    </row>
    <row r="164" spans="30:31" s="15" customFormat="1" x14ac:dyDescent="0.25">
      <c r="AD164" s="17"/>
      <c r="AE164" s="17"/>
    </row>
    <row r="165" spans="30:31" s="15" customFormat="1" x14ac:dyDescent="0.25">
      <c r="AD165" s="17"/>
      <c r="AE165" s="17"/>
    </row>
    <row r="166" spans="30:31" s="15" customFormat="1" x14ac:dyDescent="0.25">
      <c r="AD166" s="17"/>
      <c r="AE166" s="17"/>
    </row>
    <row r="167" spans="30:31" s="15" customFormat="1" x14ac:dyDescent="0.25">
      <c r="AD167" s="17"/>
      <c r="AE167" s="17"/>
    </row>
    <row r="168" spans="30:31" s="15" customFormat="1" x14ac:dyDescent="0.25">
      <c r="AD168" s="17"/>
      <c r="AE168" s="17"/>
    </row>
    <row r="169" spans="30:31" s="15" customFormat="1" x14ac:dyDescent="0.25">
      <c r="AD169" s="17"/>
      <c r="AE169" s="17"/>
    </row>
    <row r="170" spans="30:31" s="15" customFormat="1" x14ac:dyDescent="0.25">
      <c r="AD170" s="17"/>
      <c r="AE170" s="17"/>
    </row>
    <row r="171" spans="30:31" s="15" customFormat="1" x14ac:dyDescent="0.25">
      <c r="AD171" s="17"/>
      <c r="AE171" s="17"/>
    </row>
    <row r="172" spans="30:31" s="15" customFormat="1" x14ac:dyDescent="0.25">
      <c r="AD172" s="17"/>
      <c r="AE172" s="17"/>
    </row>
    <row r="173" spans="30:31" s="15" customFormat="1" x14ac:dyDescent="0.25">
      <c r="AD173" s="17"/>
      <c r="AE173" s="17"/>
    </row>
    <row r="174" spans="30:31" s="15" customFormat="1" x14ac:dyDescent="0.25">
      <c r="AD174" s="17"/>
      <c r="AE174" s="17"/>
    </row>
    <row r="175" spans="30:31" s="15" customFormat="1" x14ac:dyDescent="0.25">
      <c r="AD175" s="17"/>
      <c r="AE175" s="17"/>
    </row>
    <row r="176" spans="30:31" s="15" customFormat="1" x14ac:dyDescent="0.25">
      <c r="AD176" s="17"/>
      <c r="AE176" s="17"/>
    </row>
    <row r="177" spans="30:31" s="15" customFormat="1" x14ac:dyDescent="0.25">
      <c r="AD177" s="17"/>
      <c r="AE177" s="17"/>
    </row>
    <row r="178" spans="30:31" s="15" customFormat="1" x14ac:dyDescent="0.25">
      <c r="AD178" s="17"/>
      <c r="AE178" s="17"/>
    </row>
    <row r="179" spans="30:31" s="15" customFormat="1" x14ac:dyDescent="0.25">
      <c r="AD179" s="17"/>
      <c r="AE179" s="17"/>
    </row>
    <row r="180" spans="30:31" s="15" customFormat="1" x14ac:dyDescent="0.25">
      <c r="AD180" s="17"/>
      <c r="AE180" s="17"/>
    </row>
    <row r="181" spans="30:31" s="15" customFormat="1" x14ac:dyDescent="0.25">
      <c r="AD181" s="17"/>
      <c r="AE181" s="17"/>
    </row>
    <row r="182" spans="30:31" s="15" customFormat="1" x14ac:dyDescent="0.25">
      <c r="AD182" s="17"/>
      <c r="AE182" s="17"/>
    </row>
    <row r="183" spans="30:31" s="15" customFormat="1" x14ac:dyDescent="0.25">
      <c r="AD183" s="17"/>
      <c r="AE183" s="17"/>
    </row>
    <row r="184" spans="30:31" s="15" customFormat="1" x14ac:dyDescent="0.25">
      <c r="AD184" s="17"/>
      <c r="AE184" s="17"/>
    </row>
    <row r="185" spans="30:31" s="15" customFormat="1" x14ac:dyDescent="0.25">
      <c r="AD185" s="17"/>
      <c r="AE185" s="17"/>
    </row>
    <row r="186" spans="30:31" s="15" customFormat="1" x14ac:dyDescent="0.25">
      <c r="AD186" s="17"/>
      <c r="AE186" s="17"/>
    </row>
    <row r="187" spans="30:31" s="15" customFormat="1" x14ac:dyDescent="0.25">
      <c r="AD187" s="17"/>
      <c r="AE187" s="17"/>
    </row>
    <row r="188" spans="30:31" s="15" customFormat="1" x14ac:dyDescent="0.25">
      <c r="AD188" s="17"/>
      <c r="AE188" s="17"/>
    </row>
    <row r="189" spans="30:31" s="15" customFormat="1" x14ac:dyDescent="0.25">
      <c r="AD189" s="17"/>
      <c r="AE189" s="17"/>
    </row>
    <row r="190" spans="30:31" s="15" customFormat="1" x14ac:dyDescent="0.25">
      <c r="AD190" s="17"/>
      <c r="AE190" s="17"/>
    </row>
    <row r="191" spans="30:31" s="15" customFormat="1" x14ac:dyDescent="0.25">
      <c r="AD191" s="17"/>
      <c r="AE191" s="17"/>
    </row>
    <row r="192" spans="30:31" s="15" customFormat="1" x14ac:dyDescent="0.25">
      <c r="AD192" s="17"/>
      <c r="AE192" s="17"/>
    </row>
    <row r="193" spans="30:31" s="15" customFormat="1" x14ac:dyDescent="0.25">
      <c r="AD193" s="17"/>
      <c r="AE193" s="17"/>
    </row>
    <row r="194" spans="30:31" s="15" customFormat="1" x14ac:dyDescent="0.25">
      <c r="AD194" s="17"/>
      <c r="AE194" s="17"/>
    </row>
    <row r="195" spans="30:31" s="15" customFormat="1" x14ac:dyDescent="0.25">
      <c r="AD195" s="17"/>
      <c r="AE195" s="17"/>
    </row>
    <row r="196" spans="30:31" s="15" customFormat="1" x14ac:dyDescent="0.25">
      <c r="AD196" s="17"/>
      <c r="AE196" s="17"/>
    </row>
    <row r="197" spans="30:31" s="15" customFormat="1" x14ac:dyDescent="0.25">
      <c r="AD197" s="17"/>
      <c r="AE197" s="17"/>
    </row>
    <row r="198" spans="30:31" s="15" customFormat="1" x14ac:dyDescent="0.25">
      <c r="AD198" s="17"/>
      <c r="AE198" s="17"/>
    </row>
    <row r="199" spans="30:31" s="15" customFormat="1" x14ac:dyDescent="0.25">
      <c r="AD199" s="17"/>
      <c r="AE199" s="17"/>
    </row>
    <row r="200" spans="30:31" s="15" customFormat="1" x14ac:dyDescent="0.25">
      <c r="AD200" s="17"/>
      <c r="AE200" s="17"/>
    </row>
    <row r="201" spans="30:31" s="15" customFormat="1" x14ac:dyDescent="0.25">
      <c r="AD201" s="17"/>
      <c r="AE201" s="17"/>
    </row>
    <row r="202" spans="30:31" s="15" customFormat="1" x14ac:dyDescent="0.25">
      <c r="AD202" s="17"/>
      <c r="AE202" s="17"/>
    </row>
    <row r="203" spans="30:31" s="15" customFormat="1" x14ac:dyDescent="0.25">
      <c r="AD203" s="17"/>
      <c r="AE203" s="17"/>
    </row>
    <row r="204" spans="30:31" s="15" customFormat="1" x14ac:dyDescent="0.25">
      <c r="AD204" s="17"/>
      <c r="AE204" s="17"/>
    </row>
    <row r="205" spans="30:31" s="15" customFormat="1" x14ac:dyDescent="0.25">
      <c r="AD205" s="17"/>
      <c r="AE205" s="17"/>
    </row>
    <row r="206" spans="30:31" s="15" customFormat="1" x14ac:dyDescent="0.25">
      <c r="AD206" s="17"/>
      <c r="AE206" s="17"/>
    </row>
    <row r="207" spans="30:31" s="15" customFormat="1" x14ac:dyDescent="0.25">
      <c r="AD207" s="17"/>
      <c r="AE207" s="17"/>
    </row>
    <row r="208" spans="30:31" s="15" customFormat="1" x14ac:dyDescent="0.25">
      <c r="AD208" s="17"/>
      <c r="AE208" s="17"/>
    </row>
    <row r="209" spans="30:31" s="15" customFormat="1" x14ac:dyDescent="0.25">
      <c r="AD209" s="17"/>
      <c r="AE209" s="17"/>
    </row>
    <row r="210" spans="30:31" s="15" customFormat="1" x14ac:dyDescent="0.25">
      <c r="AD210" s="17"/>
      <c r="AE210" s="17"/>
    </row>
    <row r="211" spans="30:31" s="15" customFormat="1" x14ac:dyDescent="0.25">
      <c r="AD211" s="17"/>
      <c r="AE211" s="17"/>
    </row>
    <row r="212" spans="30:31" s="15" customFormat="1" x14ac:dyDescent="0.25">
      <c r="AD212" s="17"/>
      <c r="AE212" s="17"/>
    </row>
    <row r="213" spans="30:31" s="15" customFormat="1" x14ac:dyDescent="0.25">
      <c r="AD213" s="17"/>
      <c r="AE213" s="17"/>
    </row>
    <row r="214" spans="30:31" s="15" customFormat="1" x14ac:dyDescent="0.25">
      <c r="AD214" s="17"/>
      <c r="AE214" s="17"/>
    </row>
    <row r="215" spans="30:31" s="15" customFormat="1" x14ac:dyDescent="0.25">
      <c r="AD215" s="17"/>
      <c r="AE215" s="17"/>
    </row>
    <row r="216" spans="30:31" s="15" customFormat="1" x14ac:dyDescent="0.25">
      <c r="AD216" s="17"/>
      <c r="AE216" s="17"/>
    </row>
    <row r="217" spans="30:31" s="15" customFormat="1" x14ac:dyDescent="0.25">
      <c r="AD217" s="17"/>
      <c r="AE217" s="17"/>
    </row>
    <row r="218" spans="30:31" s="15" customFormat="1" x14ac:dyDescent="0.25">
      <c r="AD218" s="17"/>
      <c r="AE218" s="17"/>
    </row>
    <row r="219" spans="30:31" s="15" customFormat="1" x14ac:dyDescent="0.25">
      <c r="AD219" s="17"/>
      <c r="AE219" s="17"/>
    </row>
    <row r="220" spans="30:31" s="15" customFormat="1" x14ac:dyDescent="0.25">
      <c r="AD220" s="17"/>
      <c r="AE220" s="17"/>
    </row>
    <row r="221" spans="30:31" s="15" customFormat="1" x14ac:dyDescent="0.25">
      <c r="AD221" s="17"/>
      <c r="AE221" s="17"/>
    </row>
    <row r="222" spans="30:31" s="15" customFormat="1" x14ac:dyDescent="0.25">
      <c r="AD222" s="17"/>
      <c r="AE222" s="17"/>
    </row>
    <row r="223" spans="30:31" s="15" customFormat="1" x14ac:dyDescent="0.25">
      <c r="AD223" s="17"/>
      <c r="AE223" s="17"/>
    </row>
    <row r="224" spans="30:31" s="15" customFormat="1" x14ac:dyDescent="0.25">
      <c r="AD224" s="17"/>
      <c r="AE224" s="17"/>
    </row>
    <row r="225" spans="30:31" s="15" customFormat="1" x14ac:dyDescent="0.25">
      <c r="AD225" s="17"/>
      <c r="AE225" s="17"/>
    </row>
    <row r="226" spans="30:31" s="15" customFormat="1" x14ac:dyDescent="0.25">
      <c r="AD226" s="17"/>
      <c r="AE226" s="17"/>
    </row>
    <row r="227" spans="30:31" s="15" customFormat="1" x14ac:dyDescent="0.25">
      <c r="AD227" s="17"/>
      <c r="AE227" s="17"/>
    </row>
    <row r="228" spans="30:31" s="15" customFormat="1" x14ac:dyDescent="0.25">
      <c r="AD228" s="17"/>
      <c r="AE228" s="17"/>
    </row>
    <row r="229" spans="30:31" s="15" customFormat="1" x14ac:dyDescent="0.25">
      <c r="AD229" s="17"/>
      <c r="AE229" s="17"/>
    </row>
    <row r="230" spans="30:31" s="15" customFormat="1" x14ac:dyDescent="0.25">
      <c r="AD230" s="17"/>
      <c r="AE230" s="17"/>
    </row>
    <row r="231" spans="30:31" s="15" customFormat="1" x14ac:dyDescent="0.25">
      <c r="AD231" s="17"/>
      <c r="AE231" s="17"/>
    </row>
    <row r="232" spans="30:31" s="15" customFormat="1" x14ac:dyDescent="0.25">
      <c r="AD232" s="17"/>
      <c r="AE232" s="17"/>
    </row>
    <row r="233" spans="30:31" s="15" customFormat="1" x14ac:dyDescent="0.25">
      <c r="AD233" s="17"/>
      <c r="AE233" s="17"/>
    </row>
    <row r="234" spans="30:31" s="15" customFormat="1" x14ac:dyDescent="0.25">
      <c r="AD234" s="17"/>
      <c r="AE234" s="17"/>
    </row>
    <row r="235" spans="30:31" s="15" customFormat="1" x14ac:dyDescent="0.25">
      <c r="AD235" s="17"/>
      <c r="AE235" s="17"/>
    </row>
    <row r="236" spans="30:31" s="15" customFormat="1" x14ac:dyDescent="0.25">
      <c r="AD236" s="17"/>
      <c r="AE236" s="17"/>
    </row>
    <row r="237" spans="30:31" s="15" customFormat="1" x14ac:dyDescent="0.25">
      <c r="AD237" s="17"/>
      <c r="AE237" s="17"/>
    </row>
    <row r="238" spans="30:31" s="15" customFormat="1" x14ac:dyDescent="0.25">
      <c r="AD238" s="17"/>
      <c r="AE238" s="17"/>
    </row>
    <row r="239" spans="30:31" s="15" customFormat="1" x14ac:dyDescent="0.25">
      <c r="AD239" s="17"/>
      <c r="AE239" s="17"/>
    </row>
    <row r="240" spans="30:31" s="15" customFormat="1" x14ac:dyDescent="0.25">
      <c r="AD240" s="17"/>
      <c r="AE240" s="17"/>
    </row>
    <row r="241" spans="30:31" s="15" customFormat="1" x14ac:dyDescent="0.25">
      <c r="AD241" s="17"/>
      <c r="AE241" s="17"/>
    </row>
    <row r="242" spans="30:31" s="15" customFormat="1" x14ac:dyDescent="0.25">
      <c r="AD242" s="17"/>
      <c r="AE242" s="17"/>
    </row>
    <row r="243" spans="30:31" s="15" customFormat="1" x14ac:dyDescent="0.25">
      <c r="AD243" s="17"/>
      <c r="AE243" s="17"/>
    </row>
    <row r="244" spans="30:31" s="15" customFormat="1" x14ac:dyDescent="0.25">
      <c r="AD244" s="17"/>
      <c r="AE244" s="17"/>
    </row>
    <row r="245" spans="30:31" s="15" customFormat="1" x14ac:dyDescent="0.25">
      <c r="AD245" s="17"/>
      <c r="AE245" s="17"/>
    </row>
    <row r="246" spans="30:31" s="15" customFormat="1" x14ac:dyDescent="0.25">
      <c r="AD246" s="17"/>
      <c r="AE246" s="17"/>
    </row>
    <row r="247" spans="30:31" s="15" customFormat="1" x14ac:dyDescent="0.25">
      <c r="AD247" s="17"/>
      <c r="AE247" s="17"/>
    </row>
    <row r="248" spans="30:31" s="15" customFormat="1" x14ac:dyDescent="0.25">
      <c r="AD248" s="17"/>
      <c r="AE248" s="17"/>
    </row>
    <row r="249" spans="30:31" s="15" customFormat="1" x14ac:dyDescent="0.25">
      <c r="AD249" s="17"/>
      <c r="AE249" s="17"/>
    </row>
    <row r="250" spans="30:31" s="15" customFormat="1" x14ac:dyDescent="0.25">
      <c r="AD250" s="17"/>
      <c r="AE250" s="17"/>
    </row>
    <row r="251" spans="30:31" s="15" customFormat="1" x14ac:dyDescent="0.25">
      <c r="AD251" s="17"/>
      <c r="AE251" s="17"/>
    </row>
    <row r="252" spans="30:31" s="15" customFormat="1" x14ac:dyDescent="0.25">
      <c r="AD252" s="17"/>
      <c r="AE252" s="17"/>
    </row>
    <row r="253" spans="30:31" s="15" customFormat="1" x14ac:dyDescent="0.25">
      <c r="AD253" s="17"/>
      <c r="AE253" s="17"/>
    </row>
    <row r="254" spans="30:31" s="15" customFormat="1" x14ac:dyDescent="0.25">
      <c r="AD254" s="17"/>
      <c r="AE254" s="17"/>
    </row>
    <row r="255" spans="30:31" s="15" customFormat="1" x14ac:dyDescent="0.25">
      <c r="AD255" s="17"/>
      <c r="AE255" s="17"/>
    </row>
    <row r="256" spans="30:31" s="15" customFormat="1" x14ac:dyDescent="0.25">
      <c r="AD256" s="17"/>
      <c r="AE256" s="17"/>
    </row>
    <row r="257" spans="30:31" s="15" customFormat="1" x14ac:dyDescent="0.25">
      <c r="AD257" s="17"/>
      <c r="AE257" s="17"/>
    </row>
    <row r="258" spans="30:31" s="15" customFormat="1" x14ac:dyDescent="0.25">
      <c r="AD258" s="17"/>
      <c r="AE258" s="17"/>
    </row>
    <row r="259" spans="30:31" s="15" customFormat="1" x14ac:dyDescent="0.25">
      <c r="AD259" s="17"/>
      <c r="AE259" s="17"/>
    </row>
    <row r="260" spans="30:31" s="15" customFormat="1" x14ac:dyDescent="0.25">
      <c r="AD260" s="17"/>
      <c r="AE260" s="17"/>
    </row>
    <row r="261" spans="30:31" s="15" customFormat="1" x14ac:dyDescent="0.25">
      <c r="AD261" s="17"/>
      <c r="AE261" s="17"/>
    </row>
    <row r="262" spans="30:31" s="15" customFormat="1" x14ac:dyDescent="0.25">
      <c r="AD262" s="17"/>
      <c r="AE262" s="17"/>
    </row>
    <row r="263" spans="30:31" s="15" customFormat="1" x14ac:dyDescent="0.25">
      <c r="AD263" s="17"/>
      <c r="AE263" s="17"/>
    </row>
    <row r="264" spans="30:31" s="15" customFormat="1" x14ac:dyDescent="0.25">
      <c r="AD264" s="17"/>
      <c r="AE264" s="17"/>
    </row>
    <row r="265" spans="30:31" s="15" customFormat="1" x14ac:dyDescent="0.25">
      <c r="AD265" s="17"/>
      <c r="AE265" s="17"/>
    </row>
    <row r="266" spans="30:31" s="15" customFormat="1" x14ac:dyDescent="0.25">
      <c r="AD266" s="17"/>
      <c r="AE266" s="17"/>
    </row>
    <row r="267" spans="30:31" s="15" customFormat="1" x14ac:dyDescent="0.25">
      <c r="AD267" s="17"/>
      <c r="AE267" s="17"/>
    </row>
    <row r="268" spans="30:31" s="15" customFormat="1" x14ac:dyDescent="0.25">
      <c r="AD268" s="17"/>
      <c r="AE268" s="17"/>
    </row>
    <row r="269" spans="30:31" s="15" customFormat="1" x14ac:dyDescent="0.25">
      <c r="AD269" s="17"/>
      <c r="AE269" s="17"/>
    </row>
    <row r="270" spans="30:31" s="15" customFormat="1" x14ac:dyDescent="0.25">
      <c r="AD270" s="17"/>
      <c r="AE270" s="17"/>
    </row>
    <row r="271" spans="30:31" s="15" customFormat="1" x14ac:dyDescent="0.25">
      <c r="AD271" s="17"/>
      <c r="AE271" s="17"/>
    </row>
    <row r="272" spans="30:31" s="15" customFormat="1" x14ac:dyDescent="0.25">
      <c r="AD272" s="17"/>
      <c r="AE272" s="17"/>
    </row>
    <row r="273" spans="30:31" s="15" customFormat="1" x14ac:dyDescent="0.25">
      <c r="AD273" s="17"/>
      <c r="AE273" s="17"/>
    </row>
    <row r="274" spans="30:31" s="15" customFormat="1" x14ac:dyDescent="0.25">
      <c r="AD274" s="17"/>
      <c r="AE274" s="17"/>
    </row>
    <row r="275" spans="30:31" s="15" customFormat="1" x14ac:dyDescent="0.25">
      <c r="AD275" s="17"/>
      <c r="AE275" s="17"/>
    </row>
    <row r="276" spans="30:31" s="15" customFormat="1" x14ac:dyDescent="0.25">
      <c r="AD276" s="17"/>
      <c r="AE276" s="17"/>
    </row>
    <row r="277" spans="30:31" s="15" customFormat="1" x14ac:dyDescent="0.25">
      <c r="AD277" s="17"/>
      <c r="AE277" s="17"/>
    </row>
    <row r="278" spans="30:31" s="15" customFormat="1" x14ac:dyDescent="0.25">
      <c r="AD278" s="17"/>
      <c r="AE278" s="17"/>
    </row>
    <row r="279" spans="30:31" s="15" customFormat="1" x14ac:dyDescent="0.25">
      <c r="AD279" s="17"/>
      <c r="AE279" s="17"/>
    </row>
    <row r="280" spans="30:31" s="15" customFormat="1" x14ac:dyDescent="0.25">
      <c r="AD280" s="17"/>
      <c r="AE280" s="17"/>
    </row>
    <row r="281" spans="30:31" s="15" customFormat="1" x14ac:dyDescent="0.25">
      <c r="AD281" s="17"/>
      <c r="AE281" s="17"/>
    </row>
    <row r="282" spans="30:31" s="15" customFormat="1" x14ac:dyDescent="0.25">
      <c r="AD282" s="17"/>
      <c r="AE282" s="17"/>
    </row>
    <row r="283" spans="30:31" s="15" customFormat="1" x14ac:dyDescent="0.25">
      <c r="AD283" s="17"/>
      <c r="AE283" s="17"/>
    </row>
    <row r="284" spans="30:31" s="15" customFormat="1" x14ac:dyDescent="0.25">
      <c r="AD284" s="17"/>
      <c r="AE284" s="17"/>
    </row>
    <row r="285" spans="30:31" s="15" customFormat="1" x14ac:dyDescent="0.25">
      <c r="AD285" s="17"/>
      <c r="AE285" s="17"/>
    </row>
    <row r="286" spans="30:31" s="15" customFormat="1" x14ac:dyDescent="0.25">
      <c r="AD286" s="17"/>
      <c r="AE286" s="17"/>
    </row>
    <row r="287" spans="30:31" s="15" customFormat="1" x14ac:dyDescent="0.25">
      <c r="AD287" s="17"/>
      <c r="AE287" s="17"/>
    </row>
    <row r="288" spans="30:31" s="15" customFormat="1" x14ac:dyDescent="0.25">
      <c r="AD288" s="17"/>
      <c r="AE288" s="17"/>
    </row>
    <row r="289" spans="30:31" s="15" customFormat="1" x14ac:dyDescent="0.25">
      <c r="AD289" s="17"/>
      <c r="AE289" s="17"/>
    </row>
    <row r="290" spans="30:31" s="15" customFormat="1" x14ac:dyDescent="0.25">
      <c r="AD290" s="17"/>
      <c r="AE290" s="17"/>
    </row>
    <row r="291" spans="30:31" s="15" customFormat="1" x14ac:dyDescent="0.25">
      <c r="AD291" s="17"/>
      <c r="AE291" s="17"/>
    </row>
    <row r="292" spans="30:31" s="15" customFormat="1" x14ac:dyDescent="0.25">
      <c r="AD292" s="17"/>
      <c r="AE292" s="17"/>
    </row>
    <row r="293" spans="30:31" s="15" customFormat="1" x14ac:dyDescent="0.25">
      <c r="AD293" s="17"/>
      <c r="AE293" s="17"/>
    </row>
    <row r="294" spans="30:31" s="15" customFormat="1" x14ac:dyDescent="0.25">
      <c r="AD294" s="17"/>
      <c r="AE294" s="17"/>
    </row>
    <row r="295" spans="30:31" s="15" customFormat="1" x14ac:dyDescent="0.25">
      <c r="AD295" s="17"/>
      <c r="AE295" s="17"/>
    </row>
    <row r="296" spans="30:31" s="15" customFormat="1" x14ac:dyDescent="0.25">
      <c r="AD296" s="17"/>
      <c r="AE296" s="17"/>
    </row>
    <row r="297" spans="30:31" s="15" customFormat="1" x14ac:dyDescent="0.25">
      <c r="AD297" s="17"/>
      <c r="AE297" s="17"/>
    </row>
    <row r="298" spans="30:31" s="15" customFormat="1" x14ac:dyDescent="0.25">
      <c r="AD298" s="17"/>
      <c r="AE298" s="17"/>
    </row>
    <row r="299" spans="30:31" s="15" customFormat="1" x14ac:dyDescent="0.25">
      <c r="AD299" s="17"/>
      <c r="AE299" s="17"/>
    </row>
    <row r="300" spans="30:31" s="15" customFormat="1" x14ac:dyDescent="0.25">
      <c r="AD300" s="17"/>
      <c r="AE300" s="17"/>
    </row>
    <row r="301" spans="30:31" s="15" customFormat="1" x14ac:dyDescent="0.25">
      <c r="AD301" s="17"/>
      <c r="AE301" s="17"/>
    </row>
    <row r="302" spans="30:31" s="15" customFormat="1" x14ac:dyDescent="0.25">
      <c r="AD302" s="17"/>
      <c r="AE302" s="17"/>
    </row>
    <row r="303" spans="30:31" s="15" customFormat="1" x14ac:dyDescent="0.25">
      <c r="AD303" s="17"/>
      <c r="AE303" s="17"/>
    </row>
    <row r="304" spans="30:31" s="15" customFormat="1" x14ac:dyDescent="0.25">
      <c r="AD304" s="17"/>
      <c r="AE304" s="17"/>
    </row>
    <row r="305" spans="30:31" s="15" customFormat="1" x14ac:dyDescent="0.25">
      <c r="AD305" s="17"/>
      <c r="AE305" s="17"/>
    </row>
    <row r="306" spans="30:31" s="15" customFormat="1" x14ac:dyDescent="0.25">
      <c r="AD306" s="17"/>
      <c r="AE306" s="17"/>
    </row>
    <row r="307" spans="30:31" s="15" customFormat="1" x14ac:dyDescent="0.25">
      <c r="AD307" s="17"/>
      <c r="AE307" s="17"/>
    </row>
    <row r="308" spans="30:31" s="15" customFormat="1" x14ac:dyDescent="0.25">
      <c r="AD308" s="17"/>
      <c r="AE308" s="17"/>
    </row>
    <row r="309" spans="30:31" s="15" customFormat="1" x14ac:dyDescent="0.25">
      <c r="AD309" s="17"/>
      <c r="AE309" s="17"/>
    </row>
    <row r="310" spans="30:31" s="15" customFormat="1" x14ac:dyDescent="0.25">
      <c r="AD310" s="17"/>
      <c r="AE310" s="17"/>
    </row>
    <row r="311" spans="30:31" s="15" customFormat="1" x14ac:dyDescent="0.25">
      <c r="AD311" s="17"/>
      <c r="AE311" s="17"/>
    </row>
    <row r="312" spans="30:31" s="15" customFormat="1" x14ac:dyDescent="0.25">
      <c r="AD312" s="17"/>
      <c r="AE312" s="17"/>
    </row>
    <row r="313" spans="30:31" s="15" customFormat="1" x14ac:dyDescent="0.25">
      <c r="AD313" s="17"/>
      <c r="AE313" s="17"/>
    </row>
    <row r="314" spans="30:31" s="15" customFormat="1" x14ac:dyDescent="0.25">
      <c r="AD314" s="17"/>
      <c r="AE314" s="17"/>
    </row>
    <row r="315" spans="30:31" s="15" customFormat="1" x14ac:dyDescent="0.25">
      <c r="AD315" s="17"/>
      <c r="AE315" s="17"/>
    </row>
    <row r="316" spans="30:31" s="15" customFormat="1" x14ac:dyDescent="0.25">
      <c r="AD316" s="17"/>
      <c r="AE316" s="17"/>
    </row>
    <row r="317" spans="30:31" s="15" customFormat="1" x14ac:dyDescent="0.25">
      <c r="AD317" s="17"/>
      <c r="AE317" s="17"/>
    </row>
    <row r="318" spans="30:31" s="15" customFormat="1" x14ac:dyDescent="0.25">
      <c r="AD318" s="17"/>
      <c r="AE318" s="17"/>
    </row>
    <row r="319" spans="30:31" s="15" customFormat="1" x14ac:dyDescent="0.25">
      <c r="AD319" s="17"/>
      <c r="AE319" s="17"/>
    </row>
    <row r="320" spans="30:31" s="15" customFormat="1" x14ac:dyDescent="0.25">
      <c r="AD320" s="17"/>
      <c r="AE320" s="17"/>
    </row>
    <row r="321" spans="30:31" s="15" customFormat="1" x14ac:dyDescent="0.25">
      <c r="AD321" s="17"/>
      <c r="AE321" s="17"/>
    </row>
    <row r="322" spans="30:31" s="15" customFormat="1" x14ac:dyDescent="0.25">
      <c r="AD322" s="17"/>
      <c r="AE322" s="17"/>
    </row>
    <row r="323" spans="30:31" s="15" customFormat="1" x14ac:dyDescent="0.25">
      <c r="AD323" s="17"/>
      <c r="AE323" s="17"/>
    </row>
    <row r="324" spans="30:31" s="15" customFormat="1" x14ac:dyDescent="0.25">
      <c r="AD324" s="17"/>
      <c r="AE324" s="17"/>
    </row>
    <row r="325" spans="30:31" s="15" customFormat="1" x14ac:dyDescent="0.25">
      <c r="AD325" s="17"/>
      <c r="AE325" s="17"/>
    </row>
    <row r="326" spans="30:31" s="15" customFormat="1" x14ac:dyDescent="0.25">
      <c r="AD326" s="17"/>
      <c r="AE326" s="17"/>
    </row>
    <row r="327" spans="30:31" s="15" customFormat="1" x14ac:dyDescent="0.25">
      <c r="AD327" s="17"/>
      <c r="AE327" s="17"/>
    </row>
    <row r="328" spans="30:31" s="15" customFormat="1" x14ac:dyDescent="0.25">
      <c r="AD328" s="17"/>
      <c r="AE328" s="17"/>
    </row>
    <row r="329" spans="30:31" s="15" customFormat="1" x14ac:dyDescent="0.25">
      <c r="AD329" s="17"/>
      <c r="AE329" s="17"/>
    </row>
    <row r="330" spans="30:31" s="15" customFormat="1" x14ac:dyDescent="0.25">
      <c r="AD330" s="17"/>
      <c r="AE330" s="17"/>
    </row>
    <row r="331" spans="30:31" s="15" customFormat="1" x14ac:dyDescent="0.25">
      <c r="AD331" s="17"/>
      <c r="AE331" s="17"/>
    </row>
    <row r="332" spans="30:31" s="15" customFormat="1" x14ac:dyDescent="0.25">
      <c r="AD332" s="17"/>
      <c r="AE332" s="17"/>
    </row>
    <row r="333" spans="30:31" s="15" customFormat="1" x14ac:dyDescent="0.25">
      <c r="AD333" s="17"/>
      <c r="AE333" s="17"/>
    </row>
    <row r="334" spans="30:31" s="15" customFormat="1" x14ac:dyDescent="0.25">
      <c r="AD334" s="17"/>
      <c r="AE334" s="17"/>
    </row>
    <row r="335" spans="30:31" s="15" customFormat="1" x14ac:dyDescent="0.25">
      <c r="AD335" s="17"/>
      <c r="AE335" s="17"/>
    </row>
    <row r="336" spans="30:31" s="15" customFormat="1" x14ac:dyDescent="0.25">
      <c r="AD336" s="17"/>
      <c r="AE336" s="17"/>
    </row>
    <row r="337" spans="30:31" s="15" customFormat="1" x14ac:dyDescent="0.25">
      <c r="AD337" s="17"/>
      <c r="AE337" s="17"/>
    </row>
    <row r="338" spans="30:31" s="15" customFormat="1" x14ac:dyDescent="0.25">
      <c r="AD338" s="17"/>
      <c r="AE338" s="17"/>
    </row>
    <row r="339" spans="30:31" s="15" customFormat="1" x14ac:dyDescent="0.25">
      <c r="AD339" s="17"/>
      <c r="AE339" s="17"/>
    </row>
    <row r="340" spans="30:31" s="15" customFormat="1" x14ac:dyDescent="0.25">
      <c r="AD340" s="17"/>
      <c r="AE340" s="17"/>
    </row>
    <row r="341" spans="30:31" s="15" customFormat="1" x14ac:dyDescent="0.25">
      <c r="AD341" s="17"/>
      <c r="AE341" s="17"/>
    </row>
    <row r="342" spans="30:31" s="15" customFormat="1" x14ac:dyDescent="0.25">
      <c r="AD342" s="17"/>
      <c r="AE342" s="17"/>
    </row>
    <row r="343" spans="30:31" s="15" customFormat="1" x14ac:dyDescent="0.25">
      <c r="AD343" s="17"/>
      <c r="AE343" s="17"/>
    </row>
    <row r="344" spans="30:31" s="15" customFormat="1" x14ac:dyDescent="0.25">
      <c r="AD344" s="17"/>
      <c r="AE344" s="17"/>
    </row>
    <row r="345" spans="30:31" s="15" customFormat="1" x14ac:dyDescent="0.25">
      <c r="AD345" s="17"/>
      <c r="AE345" s="17"/>
    </row>
    <row r="346" spans="30:31" s="15" customFormat="1" x14ac:dyDescent="0.25">
      <c r="AD346" s="17"/>
      <c r="AE346" s="17"/>
    </row>
    <row r="347" spans="30:31" s="15" customFormat="1" x14ac:dyDescent="0.25">
      <c r="AD347" s="17"/>
      <c r="AE347" s="17"/>
    </row>
    <row r="348" spans="30:31" s="15" customFormat="1" x14ac:dyDescent="0.25">
      <c r="AD348" s="17"/>
      <c r="AE348" s="17"/>
    </row>
    <row r="349" spans="30:31" s="15" customFormat="1" x14ac:dyDescent="0.25">
      <c r="AD349" s="17"/>
      <c r="AE349" s="17"/>
    </row>
    <row r="350" spans="30:31" s="15" customFormat="1" x14ac:dyDescent="0.25">
      <c r="AD350" s="17"/>
      <c r="AE350" s="17"/>
    </row>
    <row r="351" spans="30:31" s="15" customFormat="1" x14ac:dyDescent="0.25">
      <c r="AD351" s="17"/>
      <c r="AE351" s="17"/>
    </row>
    <row r="352" spans="30:31" s="15" customFormat="1" x14ac:dyDescent="0.25">
      <c r="AD352" s="17"/>
      <c r="AE352" s="17"/>
    </row>
    <row r="353" spans="30:31" s="15" customFormat="1" x14ac:dyDescent="0.25">
      <c r="AD353" s="17"/>
      <c r="AE353" s="17"/>
    </row>
    <row r="354" spans="30:31" s="15" customFormat="1" x14ac:dyDescent="0.25">
      <c r="AD354" s="17"/>
      <c r="AE354" s="17"/>
    </row>
    <row r="355" spans="30:31" s="15" customFormat="1" x14ac:dyDescent="0.25">
      <c r="AD355" s="17"/>
      <c r="AE355" s="17"/>
    </row>
    <row r="356" spans="30:31" s="15" customFormat="1" x14ac:dyDescent="0.25">
      <c r="AD356" s="17"/>
      <c r="AE356" s="17"/>
    </row>
    <row r="357" spans="30:31" s="15" customFormat="1" x14ac:dyDescent="0.25">
      <c r="AD357" s="17"/>
      <c r="AE357" s="17"/>
    </row>
    <row r="358" spans="30:31" s="15" customFormat="1" x14ac:dyDescent="0.25">
      <c r="AD358" s="17"/>
      <c r="AE358" s="17"/>
    </row>
    <row r="359" spans="30:31" s="15" customFormat="1" x14ac:dyDescent="0.25">
      <c r="AD359" s="17"/>
      <c r="AE359" s="17"/>
    </row>
    <row r="360" spans="30:31" s="15" customFormat="1" x14ac:dyDescent="0.25">
      <c r="AD360" s="17"/>
      <c r="AE360" s="17"/>
    </row>
    <row r="361" spans="30:31" s="15" customFormat="1" x14ac:dyDescent="0.25">
      <c r="AD361" s="17"/>
      <c r="AE361" s="17"/>
    </row>
    <row r="362" spans="30:31" s="15" customFormat="1" x14ac:dyDescent="0.25">
      <c r="AD362" s="17"/>
      <c r="AE362" s="17"/>
    </row>
    <row r="363" spans="30:31" s="15" customFormat="1" x14ac:dyDescent="0.25">
      <c r="AD363" s="17"/>
      <c r="AE363" s="17"/>
    </row>
    <row r="364" spans="30:31" s="15" customFormat="1" x14ac:dyDescent="0.25">
      <c r="AD364" s="17"/>
      <c r="AE364" s="17"/>
    </row>
    <row r="365" spans="30:31" s="15" customFormat="1" x14ac:dyDescent="0.25">
      <c r="AD365" s="17"/>
      <c r="AE365" s="17"/>
    </row>
    <row r="366" spans="30:31" s="15" customFormat="1" x14ac:dyDescent="0.25">
      <c r="AD366" s="17"/>
      <c r="AE366" s="17"/>
    </row>
    <row r="367" spans="30:31" s="15" customFormat="1" x14ac:dyDescent="0.25">
      <c r="AD367" s="17"/>
      <c r="AE367" s="17"/>
    </row>
    <row r="368" spans="30:31" s="15" customFormat="1" x14ac:dyDescent="0.25">
      <c r="AD368" s="17"/>
      <c r="AE368" s="17"/>
    </row>
    <row r="369" spans="30:31" s="15" customFormat="1" x14ac:dyDescent="0.25">
      <c r="AD369" s="17"/>
      <c r="AE369" s="17"/>
    </row>
    <row r="370" spans="30:31" s="15" customFormat="1" x14ac:dyDescent="0.25">
      <c r="AD370" s="17"/>
      <c r="AE370" s="17"/>
    </row>
    <row r="371" spans="30:31" s="15" customFormat="1" x14ac:dyDescent="0.25">
      <c r="AD371" s="17"/>
      <c r="AE371" s="17"/>
    </row>
    <row r="372" spans="30:31" s="15" customFormat="1" x14ac:dyDescent="0.25">
      <c r="AD372" s="17"/>
      <c r="AE372" s="17"/>
    </row>
    <row r="373" spans="30:31" s="15" customFormat="1" x14ac:dyDescent="0.25">
      <c r="AD373" s="17"/>
      <c r="AE373" s="17"/>
    </row>
    <row r="374" spans="30:31" s="15" customFormat="1" x14ac:dyDescent="0.25">
      <c r="AD374" s="17"/>
      <c r="AE374" s="17"/>
    </row>
    <row r="375" spans="30:31" s="15" customFormat="1" x14ac:dyDescent="0.25">
      <c r="AD375" s="17"/>
      <c r="AE375" s="17"/>
    </row>
    <row r="376" spans="30:31" s="15" customFormat="1" x14ac:dyDescent="0.25">
      <c r="AD376" s="17"/>
      <c r="AE376" s="17"/>
    </row>
    <row r="377" spans="30:31" s="15" customFormat="1" x14ac:dyDescent="0.25">
      <c r="AD377" s="17"/>
      <c r="AE377" s="17"/>
    </row>
    <row r="378" spans="30:31" s="15" customFormat="1" x14ac:dyDescent="0.25">
      <c r="AD378" s="17"/>
      <c r="AE378" s="17"/>
    </row>
    <row r="379" spans="30:31" s="15" customFormat="1" x14ac:dyDescent="0.25">
      <c r="AD379" s="17"/>
      <c r="AE379" s="17"/>
    </row>
    <row r="380" spans="30:31" s="15" customFormat="1" x14ac:dyDescent="0.25">
      <c r="AD380" s="17"/>
      <c r="AE380" s="17"/>
    </row>
    <row r="381" spans="30:31" s="15" customFormat="1" x14ac:dyDescent="0.25">
      <c r="AD381" s="17"/>
      <c r="AE381" s="17"/>
    </row>
    <row r="382" spans="30:31" s="15" customFormat="1" x14ac:dyDescent="0.25">
      <c r="AD382" s="17"/>
      <c r="AE382" s="17"/>
    </row>
    <row r="383" spans="30:31" s="15" customFormat="1" x14ac:dyDescent="0.25">
      <c r="AD383" s="17"/>
      <c r="AE383" s="17"/>
    </row>
    <row r="384" spans="30:31" s="15" customFormat="1" x14ac:dyDescent="0.25">
      <c r="AD384" s="17"/>
      <c r="AE384" s="17"/>
    </row>
    <row r="385" spans="30:31" s="15" customFormat="1" x14ac:dyDescent="0.25">
      <c r="AD385" s="17"/>
      <c r="AE385" s="17"/>
    </row>
    <row r="386" spans="30:31" s="15" customFormat="1" x14ac:dyDescent="0.25">
      <c r="AD386" s="17"/>
      <c r="AE386" s="17"/>
    </row>
    <row r="387" spans="30:31" s="15" customFormat="1" x14ac:dyDescent="0.25">
      <c r="AD387" s="17"/>
      <c r="AE387" s="17"/>
    </row>
    <row r="388" spans="30:31" s="15" customFormat="1" x14ac:dyDescent="0.25">
      <c r="AD388" s="17"/>
      <c r="AE388" s="17"/>
    </row>
    <row r="389" spans="30:31" s="15" customFormat="1" x14ac:dyDescent="0.25">
      <c r="AD389" s="17"/>
      <c r="AE389" s="17"/>
    </row>
    <row r="390" spans="30:31" s="15" customFormat="1" x14ac:dyDescent="0.25">
      <c r="AD390" s="17"/>
      <c r="AE390" s="17"/>
    </row>
    <row r="391" spans="30:31" s="15" customFormat="1" x14ac:dyDescent="0.25">
      <c r="AD391" s="17"/>
      <c r="AE391" s="17"/>
    </row>
    <row r="392" spans="30:31" s="15" customFormat="1" x14ac:dyDescent="0.25">
      <c r="AD392" s="17"/>
      <c r="AE392" s="17"/>
    </row>
    <row r="393" spans="30:31" s="15" customFormat="1" x14ac:dyDescent="0.25">
      <c r="AD393" s="17"/>
      <c r="AE393" s="17"/>
    </row>
    <row r="394" spans="30:31" s="15" customFormat="1" x14ac:dyDescent="0.25">
      <c r="AD394" s="17"/>
      <c r="AE394" s="17"/>
    </row>
    <row r="395" spans="30:31" s="15" customFormat="1" x14ac:dyDescent="0.25">
      <c r="AD395" s="17"/>
      <c r="AE395" s="17"/>
    </row>
    <row r="396" spans="30:31" s="15" customFormat="1" x14ac:dyDescent="0.25">
      <c r="AD396" s="17"/>
      <c r="AE396" s="17"/>
    </row>
    <row r="397" spans="30:31" s="15" customFormat="1" x14ac:dyDescent="0.25">
      <c r="AD397" s="17"/>
      <c r="AE397" s="17"/>
    </row>
    <row r="398" spans="30:31" s="15" customFormat="1" x14ac:dyDescent="0.25">
      <c r="AD398" s="17"/>
      <c r="AE398" s="17"/>
    </row>
    <row r="399" spans="30:31" s="15" customFormat="1" x14ac:dyDescent="0.25">
      <c r="AD399" s="17"/>
      <c r="AE399" s="17"/>
    </row>
    <row r="400" spans="30:31" s="15" customFormat="1" x14ac:dyDescent="0.25">
      <c r="AD400" s="17"/>
      <c r="AE400" s="17"/>
    </row>
    <row r="401" spans="30:31" s="15" customFormat="1" x14ac:dyDescent="0.25">
      <c r="AD401" s="17"/>
      <c r="AE401" s="17"/>
    </row>
    <row r="402" spans="30:31" s="15" customFormat="1" x14ac:dyDescent="0.25">
      <c r="AD402" s="17"/>
      <c r="AE402" s="17"/>
    </row>
    <row r="403" spans="30:31" s="15" customFormat="1" x14ac:dyDescent="0.25">
      <c r="AD403" s="17"/>
      <c r="AE403" s="17"/>
    </row>
    <row r="404" spans="30:31" s="15" customFormat="1" x14ac:dyDescent="0.25">
      <c r="AD404" s="17"/>
      <c r="AE404" s="17"/>
    </row>
    <row r="405" spans="30:31" s="15" customFormat="1" x14ac:dyDescent="0.25">
      <c r="AD405" s="17"/>
      <c r="AE405" s="17"/>
    </row>
    <row r="406" spans="30:31" s="15" customFormat="1" x14ac:dyDescent="0.25">
      <c r="AD406" s="17"/>
      <c r="AE406" s="17"/>
    </row>
    <row r="407" spans="30:31" s="15" customFormat="1" x14ac:dyDescent="0.25">
      <c r="AD407" s="17"/>
      <c r="AE407" s="17"/>
    </row>
    <row r="408" spans="30:31" s="15" customFormat="1" x14ac:dyDescent="0.25">
      <c r="AD408" s="17"/>
      <c r="AE408" s="17"/>
    </row>
    <row r="409" spans="30:31" s="15" customFormat="1" x14ac:dyDescent="0.25">
      <c r="AD409" s="17"/>
      <c r="AE409" s="17"/>
    </row>
    <row r="410" spans="30:31" s="15" customFormat="1" x14ac:dyDescent="0.25">
      <c r="AD410" s="17"/>
      <c r="AE410" s="17"/>
    </row>
    <row r="411" spans="30:31" s="15" customFormat="1" x14ac:dyDescent="0.25">
      <c r="AD411" s="17"/>
      <c r="AE411" s="17"/>
    </row>
    <row r="412" spans="30:31" s="15" customFormat="1" x14ac:dyDescent="0.25">
      <c r="AD412" s="17"/>
      <c r="AE412" s="17"/>
    </row>
    <row r="413" spans="30:31" s="15" customFormat="1" x14ac:dyDescent="0.25">
      <c r="AD413" s="17"/>
      <c r="AE413" s="17"/>
    </row>
    <row r="414" spans="30:31" s="15" customFormat="1" x14ac:dyDescent="0.25">
      <c r="AD414" s="17"/>
      <c r="AE414" s="17"/>
    </row>
    <row r="415" spans="30:31" s="15" customFormat="1" x14ac:dyDescent="0.25">
      <c r="AD415" s="17"/>
      <c r="AE415" s="17"/>
    </row>
    <row r="416" spans="30:31" s="15" customFormat="1" x14ac:dyDescent="0.25">
      <c r="AD416" s="17"/>
      <c r="AE416" s="17"/>
    </row>
    <row r="417" spans="30:31" s="15" customFormat="1" x14ac:dyDescent="0.25">
      <c r="AD417" s="17"/>
      <c r="AE417" s="17"/>
    </row>
    <row r="418" spans="30:31" s="15" customFormat="1" x14ac:dyDescent="0.25">
      <c r="AD418" s="17"/>
      <c r="AE418" s="17"/>
    </row>
    <row r="419" spans="30:31" s="15" customFormat="1" x14ac:dyDescent="0.25">
      <c r="AD419" s="17"/>
      <c r="AE419" s="17"/>
    </row>
    <row r="420" spans="30:31" s="15" customFormat="1" x14ac:dyDescent="0.25">
      <c r="AD420" s="17"/>
      <c r="AE420" s="17"/>
    </row>
    <row r="421" spans="30:31" s="15" customFormat="1" x14ac:dyDescent="0.25">
      <c r="AD421" s="17"/>
      <c r="AE421" s="17"/>
    </row>
    <row r="422" spans="30:31" s="15" customFormat="1" x14ac:dyDescent="0.25">
      <c r="AD422" s="17"/>
      <c r="AE422" s="17"/>
    </row>
    <row r="423" spans="30:31" s="15" customFormat="1" x14ac:dyDescent="0.25">
      <c r="AD423" s="17"/>
      <c r="AE423" s="17"/>
    </row>
    <row r="424" spans="30:31" s="15" customFormat="1" x14ac:dyDescent="0.25">
      <c r="AD424" s="17"/>
      <c r="AE424" s="17"/>
    </row>
    <row r="425" spans="30:31" s="15" customFormat="1" x14ac:dyDescent="0.25">
      <c r="AD425" s="17"/>
      <c r="AE425" s="17"/>
    </row>
    <row r="426" spans="30:31" s="15" customFormat="1" x14ac:dyDescent="0.25">
      <c r="AD426" s="17"/>
      <c r="AE426" s="17"/>
    </row>
    <row r="427" spans="30:31" s="15" customFormat="1" x14ac:dyDescent="0.25">
      <c r="AD427" s="17"/>
      <c r="AE427" s="17"/>
    </row>
    <row r="428" spans="30:31" s="15" customFormat="1" x14ac:dyDescent="0.25">
      <c r="AD428" s="17"/>
      <c r="AE428" s="17"/>
    </row>
    <row r="429" spans="30:31" s="15" customFormat="1" x14ac:dyDescent="0.25">
      <c r="AD429" s="17"/>
      <c r="AE429" s="17"/>
    </row>
    <row r="430" spans="30:31" s="15" customFormat="1" x14ac:dyDescent="0.25">
      <c r="AD430" s="17"/>
      <c r="AE430" s="17"/>
    </row>
    <row r="431" spans="30:31" s="15" customFormat="1" x14ac:dyDescent="0.25">
      <c r="AD431" s="17"/>
      <c r="AE431" s="17"/>
    </row>
    <row r="432" spans="30:31" s="15" customFormat="1" x14ac:dyDescent="0.25">
      <c r="AD432" s="17"/>
      <c r="AE432" s="17"/>
    </row>
    <row r="433" spans="30:31" s="15" customFormat="1" x14ac:dyDescent="0.25">
      <c r="AD433" s="17"/>
      <c r="AE433" s="17"/>
    </row>
    <row r="434" spans="30:31" s="15" customFormat="1" x14ac:dyDescent="0.25">
      <c r="AD434" s="17"/>
      <c r="AE434" s="17"/>
    </row>
    <row r="435" spans="30:31" s="15" customFormat="1" x14ac:dyDescent="0.25">
      <c r="AD435" s="17"/>
      <c r="AE435" s="17"/>
    </row>
    <row r="436" spans="30:31" s="15" customFormat="1" x14ac:dyDescent="0.25">
      <c r="AD436" s="17"/>
      <c r="AE436" s="17"/>
    </row>
  </sheetData>
  <mergeCells count="56">
    <mergeCell ref="B4:AF4"/>
    <mergeCell ref="AD58:AD60"/>
    <mergeCell ref="Y58:Y60"/>
    <mergeCell ref="Z58:Z60"/>
    <mergeCell ref="AA58:AA60"/>
    <mergeCell ref="AB58:AB60"/>
    <mergeCell ref="AC58:AC60"/>
    <mergeCell ref="T58:T60"/>
    <mergeCell ref="U58:U60"/>
    <mergeCell ref="V58:V60"/>
    <mergeCell ref="W58:W60"/>
    <mergeCell ref="X58:X60"/>
    <mergeCell ref="N58:N60"/>
    <mergeCell ref="O58:O60"/>
    <mergeCell ref="Q58:Q60"/>
    <mergeCell ref="R58:R60"/>
    <mergeCell ref="S58:S60"/>
    <mergeCell ref="I58:I60"/>
    <mergeCell ref="J58:J60"/>
    <mergeCell ref="K58:K60"/>
    <mergeCell ref="L58:L60"/>
    <mergeCell ref="M58:M60"/>
    <mergeCell ref="D58:D60"/>
    <mergeCell ref="E58:E60"/>
    <mergeCell ref="F58:F60"/>
    <mergeCell ref="G58:G60"/>
    <mergeCell ref="H58:H60"/>
    <mergeCell ref="AE7:AF9"/>
    <mergeCell ref="F7:F9"/>
    <mergeCell ref="T7:T9"/>
    <mergeCell ref="S7:S9"/>
    <mergeCell ref="O7:O9"/>
    <mergeCell ref="N7:N9"/>
    <mergeCell ref="Y7:Y9"/>
    <mergeCell ref="I7:I9"/>
    <mergeCell ref="V7:V9"/>
    <mergeCell ref="G7:G9"/>
    <mergeCell ref="U7:U9"/>
    <mergeCell ref="M7:M9"/>
    <mergeCell ref="L7:L9"/>
    <mergeCell ref="K7:K9"/>
    <mergeCell ref="J7:J9"/>
    <mergeCell ref="P7:P9"/>
    <mergeCell ref="B7:C9"/>
    <mergeCell ref="AD7:AD9"/>
    <mergeCell ref="Q7:Q9"/>
    <mergeCell ref="AC7:AC9"/>
    <mergeCell ref="AB7:AB9"/>
    <mergeCell ref="AA7:AA9"/>
    <mergeCell ref="Z7:Z9"/>
    <mergeCell ref="X7:X9"/>
    <mergeCell ref="W7:W9"/>
    <mergeCell ref="H7:H9"/>
    <mergeCell ref="D7:D9"/>
    <mergeCell ref="E7:E9"/>
    <mergeCell ref="R7:R9"/>
  </mergeCells>
  <phoneticPr fontId="0" type="noConversion"/>
  <printOptions horizontalCentered="1"/>
  <pageMargins left="0.56999999999999995" right="0.45" top="1.81" bottom="0.78740157480314965" header="0" footer="0"/>
  <pageSetup scale="48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31</vt:lpstr>
      <vt:lpstr>'31'!Área_de_impresión</vt:lpstr>
    </vt:vector>
  </TitlesOfParts>
  <Company>Banco Central de Bolivia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MAguilar</dc:creator>
  <cp:lastModifiedBy>Jemio Hurtado Valeria</cp:lastModifiedBy>
  <cp:lastPrinted>2025-10-21T15:26:07Z</cp:lastPrinted>
  <dcterms:created xsi:type="dcterms:W3CDTF">2005-01-19T17:43:50Z</dcterms:created>
  <dcterms:modified xsi:type="dcterms:W3CDTF">2025-10-21T15:26:37Z</dcterms:modified>
</cp:coreProperties>
</file>